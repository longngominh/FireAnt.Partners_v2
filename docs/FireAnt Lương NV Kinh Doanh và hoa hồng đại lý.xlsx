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oang Lam\OneDrive\Desktop\"/>
    </mc:Choice>
  </mc:AlternateContent>
  <xr:revisionPtr revIDLastSave="0" documentId="13_ncr:1_{E532A932-D96C-47EF-9B70-FCF1DD77E62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6" i="1" l="1"/>
  <c r="L66" i="1"/>
  <c r="K66" i="1"/>
  <c r="J66" i="1"/>
  <c r="I66" i="1"/>
  <c r="H66" i="1"/>
  <c r="G66" i="1"/>
  <c r="F66" i="1"/>
  <c r="N65" i="1"/>
  <c r="N64" i="1"/>
  <c r="N63" i="1"/>
  <c r="N66" i="1" s="1"/>
  <c r="F51" i="1"/>
  <c r="B50" i="1"/>
  <c r="B52" i="1" s="1"/>
  <c r="C46" i="1"/>
  <c r="C49" i="1" s="1"/>
  <c r="B46" i="1"/>
  <c r="C45" i="1"/>
  <c r="C50" i="1" s="1"/>
  <c r="C52" i="1" s="1"/>
  <c r="D44" i="1"/>
  <c r="N43" i="1"/>
  <c r="N42" i="1" s="1"/>
  <c r="N41" i="1" s="1"/>
  <c r="N40" i="1" s="1"/>
  <c r="N39" i="1" s="1"/>
  <c r="N38" i="1" s="1"/>
  <c r="N37" i="1" s="1"/>
  <c r="N36" i="1" s="1"/>
  <c r="E43" i="1"/>
  <c r="F43" i="1" s="1"/>
  <c r="F42" i="1"/>
  <c r="G42" i="1" s="1"/>
  <c r="H42" i="1" s="1"/>
  <c r="I42" i="1" s="1"/>
  <c r="J42" i="1" s="1"/>
  <c r="K42" i="1" s="1"/>
  <c r="L42" i="1" s="1"/>
  <c r="M42" i="1" s="1"/>
  <c r="G41" i="1"/>
  <c r="H40" i="1"/>
  <c r="J39" i="1"/>
  <c r="K39" i="1" s="1"/>
  <c r="L39" i="1" s="1"/>
  <c r="M39" i="1" s="1"/>
  <c r="I39" i="1"/>
  <c r="J38" i="1"/>
  <c r="K37" i="1"/>
  <c r="L37" i="1" s="1"/>
  <c r="M37" i="1" s="1"/>
  <c r="M36" i="1"/>
  <c r="L36" i="1"/>
  <c r="D20" i="1"/>
  <c r="D22" i="1" s="1"/>
  <c r="C20" i="1"/>
  <c r="C22" i="1" s="1"/>
  <c r="B20" i="1"/>
  <c r="B22" i="1" s="1"/>
  <c r="D17" i="1"/>
  <c r="E17" i="1" s="1"/>
  <c r="F17" i="1" s="1"/>
  <c r="G17" i="1" s="1"/>
  <c r="H17" i="1" s="1"/>
  <c r="I17" i="1" s="1"/>
  <c r="J17" i="1" s="1"/>
  <c r="K17" i="1" s="1"/>
  <c r="L17" i="1" s="1"/>
  <c r="M17" i="1" s="1"/>
  <c r="C17" i="1"/>
  <c r="C16" i="1"/>
  <c r="B16" i="1"/>
  <c r="B25" i="1" s="1"/>
  <c r="D15" i="1"/>
  <c r="E15" i="1" s="1"/>
  <c r="D14" i="1"/>
  <c r="E14" i="1" s="1"/>
  <c r="F14" i="1" s="1"/>
  <c r="G14" i="1" s="1"/>
  <c r="H14" i="1" s="1"/>
  <c r="I14" i="1" s="1"/>
  <c r="J14" i="1" s="1"/>
  <c r="K14" i="1" s="1"/>
  <c r="L14" i="1" s="1"/>
  <c r="M14" i="1" s="1"/>
  <c r="N13" i="1"/>
  <c r="E13" i="1"/>
  <c r="F13" i="1" s="1"/>
  <c r="G13" i="1" s="1"/>
  <c r="H13" i="1" s="1"/>
  <c r="I13" i="1" s="1"/>
  <c r="J13" i="1" s="1"/>
  <c r="K13" i="1" s="1"/>
  <c r="L13" i="1" s="1"/>
  <c r="M13" i="1" s="1"/>
  <c r="F12" i="1"/>
  <c r="G12" i="1" s="1"/>
  <c r="H12" i="1" s="1"/>
  <c r="I12" i="1" s="1"/>
  <c r="J12" i="1" s="1"/>
  <c r="K12" i="1" s="1"/>
  <c r="L12" i="1" s="1"/>
  <c r="M12" i="1" s="1"/>
  <c r="R11" i="1"/>
  <c r="G11" i="1"/>
  <c r="H11" i="1" s="1"/>
  <c r="I11" i="1" s="1"/>
  <c r="J11" i="1" s="1"/>
  <c r="K11" i="1" s="1"/>
  <c r="L11" i="1" s="1"/>
  <c r="M11" i="1" s="1"/>
  <c r="R10" i="1"/>
  <c r="H10" i="1"/>
  <c r="R9" i="1"/>
  <c r="I9" i="1"/>
  <c r="J9" i="1" s="1"/>
  <c r="K9" i="1" s="1"/>
  <c r="L9" i="1" s="1"/>
  <c r="M9" i="1" s="1"/>
  <c r="J8" i="1"/>
  <c r="K7" i="1"/>
  <c r="L7" i="1" s="1"/>
  <c r="M6" i="1"/>
  <c r="L6" i="1"/>
  <c r="Q3" i="1"/>
  <c r="Q4" i="1" s="1"/>
  <c r="F15" i="1" l="1"/>
  <c r="N35" i="1"/>
  <c r="C48" i="1"/>
  <c r="B48" i="1"/>
  <c r="M7" i="1"/>
  <c r="K8" i="1"/>
  <c r="L8" i="1" s="1"/>
  <c r="M8" i="1" s="1"/>
  <c r="B18" i="1"/>
  <c r="B23" i="1" s="1"/>
  <c r="B24" i="1" s="1"/>
  <c r="N12" i="1"/>
  <c r="N11" i="1" s="1"/>
  <c r="N10" i="1" s="1"/>
  <c r="N9" i="1" s="1"/>
  <c r="N8" i="1" s="1"/>
  <c r="N7" i="1" s="1"/>
  <c r="N6" i="1" s="1"/>
  <c r="N5" i="1" s="1"/>
  <c r="N4" i="1" s="1"/>
  <c r="E20" i="1"/>
  <c r="E22" i="1" s="1"/>
  <c r="B27" i="1"/>
  <c r="B26" i="1"/>
  <c r="D16" i="1"/>
  <c r="C53" i="1"/>
  <c r="C54" i="1" s="1"/>
  <c r="E16" i="1"/>
  <c r="D45" i="1"/>
  <c r="G43" i="1"/>
  <c r="H43" i="1" s="1"/>
  <c r="I43" i="1" s="1"/>
  <c r="J43" i="1" s="1"/>
  <c r="K43" i="1" s="1"/>
  <c r="L43" i="1" s="1"/>
  <c r="M43" i="1" s="1"/>
  <c r="F20" i="1"/>
  <c r="I10" i="1"/>
  <c r="F16" i="1"/>
  <c r="C58" i="1"/>
  <c r="C55" i="1"/>
  <c r="C18" i="1"/>
  <c r="H41" i="1"/>
  <c r="I41" i="1" s="1"/>
  <c r="J41" i="1" s="1"/>
  <c r="K41" i="1" s="1"/>
  <c r="L41" i="1" s="1"/>
  <c r="M41" i="1" s="1"/>
  <c r="E44" i="1"/>
  <c r="C25" i="1"/>
  <c r="C19" i="1"/>
  <c r="C23" i="1" s="1"/>
  <c r="C24" i="1" s="1"/>
  <c r="B58" i="1"/>
  <c r="B55" i="1"/>
  <c r="B53" i="1"/>
  <c r="B54" i="1" s="1"/>
  <c r="I40" i="1"/>
  <c r="K38" i="1"/>
  <c r="L38" i="1" s="1"/>
  <c r="M38" i="1" s="1"/>
  <c r="B57" i="1" l="1"/>
  <c r="B56" i="1"/>
  <c r="B60" i="1"/>
  <c r="B61" i="1" s="1"/>
  <c r="C60" i="1"/>
  <c r="C61" i="1" s="1"/>
  <c r="D18" i="1"/>
  <c r="E18" i="1"/>
  <c r="D48" i="1"/>
  <c r="E45" i="1"/>
  <c r="D46" i="1"/>
  <c r="D50" i="1"/>
  <c r="D52" i="1" s="1"/>
  <c r="F44" i="1"/>
  <c r="J40" i="1"/>
  <c r="F22" i="1"/>
  <c r="E23" i="1"/>
  <c r="E24" i="1" s="1"/>
  <c r="G15" i="1"/>
  <c r="F18" i="1"/>
  <c r="C27" i="1"/>
  <c r="C26" i="1"/>
  <c r="E19" i="1"/>
  <c r="E25" i="1"/>
  <c r="D25" i="1"/>
  <c r="D19" i="1"/>
  <c r="D23" i="1" s="1"/>
  <c r="D24" i="1" s="1"/>
  <c r="J10" i="1"/>
  <c r="C57" i="1"/>
  <c r="C56" i="1"/>
  <c r="F19" i="1"/>
  <c r="F25" i="1"/>
  <c r="F23" i="1" l="1"/>
  <c r="F24" i="1" s="1"/>
  <c r="G22" i="1"/>
  <c r="F45" i="1"/>
  <c r="E48" i="1"/>
  <c r="E50" i="1"/>
  <c r="E52" i="1" s="1"/>
  <c r="K10" i="1"/>
  <c r="K40" i="1"/>
  <c r="D27" i="1"/>
  <c r="D26" i="1"/>
  <c r="F26" i="1"/>
  <c r="F27" i="1"/>
  <c r="E46" i="1"/>
  <c r="G18" i="1"/>
  <c r="H15" i="1"/>
  <c r="G20" i="1"/>
  <c r="G16" i="1"/>
  <c r="D58" i="1"/>
  <c r="D55" i="1"/>
  <c r="D49" i="1"/>
  <c r="D53" i="1" s="1"/>
  <c r="D54" i="1" s="1"/>
  <c r="E26" i="1"/>
  <c r="E27" i="1"/>
  <c r="G44" i="1"/>
  <c r="F46" i="1"/>
  <c r="F50" i="1"/>
  <c r="F52" i="1" s="1"/>
  <c r="D60" i="1" l="1"/>
  <c r="D61" i="1" s="1"/>
  <c r="L40" i="1"/>
  <c r="G19" i="1"/>
  <c r="G25" i="1"/>
  <c r="H18" i="1"/>
  <c r="I15" i="1"/>
  <c r="H16" i="1"/>
  <c r="H20" i="1"/>
  <c r="L10" i="1"/>
  <c r="E58" i="1"/>
  <c r="E55" i="1"/>
  <c r="E49" i="1"/>
  <c r="H22" i="1"/>
  <c r="G23" i="1"/>
  <c r="G24" i="1" s="1"/>
  <c r="E53" i="1"/>
  <c r="E54" i="1" s="1"/>
  <c r="F58" i="1"/>
  <c r="F55" i="1"/>
  <c r="F49" i="1"/>
  <c r="F53" i="1" s="1"/>
  <c r="F54" i="1" s="1"/>
  <c r="G45" i="1"/>
  <c r="G46" i="1" s="1"/>
  <c r="F48" i="1"/>
  <c r="H44" i="1"/>
  <c r="D57" i="1"/>
  <c r="D56" i="1"/>
  <c r="G49" i="1" l="1"/>
  <c r="G58" i="1"/>
  <c r="G55" i="1"/>
  <c r="M10" i="1"/>
  <c r="H25" i="1"/>
  <c r="H19" i="1"/>
  <c r="H23" i="1" s="1"/>
  <c r="H24" i="1" s="1"/>
  <c r="J15" i="1"/>
  <c r="I18" i="1"/>
  <c r="I16" i="1"/>
  <c r="I20" i="1"/>
  <c r="G50" i="1"/>
  <c r="G52" i="1" s="1"/>
  <c r="G48" i="1"/>
  <c r="H45" i="1"/>
  <c r="F57" i="1"/>
  <c r="F56" i="1"/>
  <c r="I22" i="1"/>
  <c r="G26" i="1"/>
  <c r="G27" i="1"/>
  <c r="E57" i="1"/>
  <c r="E56" i="1"/>
  <c r="E60" i="1"/>
  <c r="E61" i="1" s="1"/>
  <c r="I44" i="1"/>
  <c r="H50" i="1"/>
  <c r="H46" i="1"/>
  <c r="M40" i="1"/>
  <c r="F60" i="1"/>
  <c r="F61" i="1" s="1"/>
  <c r="J18" i="1" l="1"/>
  <c r="K15" i="1"/>
  <c r="J20" i="1"/>
  <c r="J16" i="1"/>
  <c r="H49" i="1"/>
  <c r="H58" i="1"/>
  <c r="H55" i="1"/>
  <c r="I45" i="1"/>
  <c r="H48" i="1"/>
  <c r="G57" i="1"/>
  <c r="G56" i="1"/>
  <c r="J22" i="1"/>
  <c r="G60" i="1"/>
  <c r="G61" i="1" s="1"/>
  <c r="I25" i="1"/>
  <c r="I19" i="1"/>
  <c r="I23" i="1" s="1"/>
  <c r="I24" i="1" s="1"/>
  <c r="H27" i="1"/>
  <c r="H26" i="1"/>
  <c r="J44" i="1"/>
  <c r="I46" i="1"/>
  <c r="H52" i="1"/>
  <c r="G53" i="1"/>
  <c r="G54" i="1" s="1"/>
  <c r="H57" i="1" l="1"/>
  <c r="H56" i="1"/>
  <c r="J25" i="1"/>
  <c r="J19" i="1"/>
  <c r="I27" i="1"/>
  <c r="I26" i="1"/>
  <c r="K22" i="1"/>
  <c r="J23" i="1"/>
  <c r="J24" i="1" s="1"/>
  <c r="I52" i="1"/>
  <c r="H53" i="1"/>
  <c r="H54" i="1" s="1"/>
  <c r="L15" i="1"/>
  <c r="K18" i="1"/>
  <c r="K20" i="1"/>
  <c r="K16" i="1"/>
  <c r="I49" i="1"/>
  <c r="I58" i="1"/>
  <c r="I55" i="1"/>
  <c r="I48" i="1"/>
  <c r="J45" i="1"/>
  <c r="K44" i="1"/>
  <c r="J50" i="1"/>
  <c r="J46" i="1"/>
  <c r="I50" i="1"/>
  <c r="J48" i="1" l="1"/>
  <c r="K45" i="1"/>
  <c r="L22" i="1"/>
  <c r="I57" i="1"/>
  <c r="I56" i="1"/>
  <c r="H60" i="1"/>
  <c r="H61" i="1" s="1"/>
  <c r="K19" i="1"/>
  <c r="K23" i="1" s="1"/>
  <c r="K24" i="1" s="1"/>
  <c r="K25" i="1"/>
  <c r="M15" i="1"/>
  <c r="L18" i="1"/>
  <c r="L16" i="1"/>
  <c r="L20" i="1"/>
  <c r="J49" i="1"/>
  <c r="J58" i="1"/>
  <c r="J55" i="1"/>
  <c r="J52" i="1"/>
  <c r="I53" i="1"/>
  <c r="I54" i="1" s="1"/>
  <c r="L44" i="1"/>
  <c r="K50" i="1"/>
  <c r="K46" i="1"/>
  <c r="I60" i="1"/>
  <c r="I61" i="1" s="1"/>
  <c r="J27" i="1"/>
  <c r="J26" i="1"/>
  <c r="L19" i="1" l="1"/>
  <c r="L23" i="1" s="1"/>
  <c r="L24" i="1" s="1"/>
  <c r="L25" i="1"/>
  <c r="M18" i="1"/>
  <c r="M16" i="1"/>
  <c r="M20" i="1"/>
  <c r="K58" i="1"/>
  <c r="K55" i="1"/>
  <c r="K49" i="1"/>
  <c r="J60" i="1"/>
  <c r="J61" i="1" s="1"/>
  <c r="K26" i="1"/>
  <c r="K27" i="1"/>
  <c r="M44" i="1"/>
  <c r="K52" i="1"/>
  <c r="J53" i="1"/>
  <c r="J54" i="1" s="1"/>
  <c r="J57" i="1"/>
  <c r="J56" i="1"/>
  <c r="M22" i="1"/>
  <c r="L45" i="1"/>
  <c r="K48" i="1"/>
  <c r="M25" i="1" l="1"/>
  <c r="M19" i="1"/>
  <c r="L52" i="1"/>
  <c r="K53" i="1"/>
  <c r="K54" i="1" s="1"/>
  <c r="M45" i="1"/>
  <c r="M48" i="1" s="1"/>
  <c r="L48" i="1"/>
  <c r="M23" i="1"/>
  <c r="M24" i="1" s="1"/>
  <c r="K57" i="1"/>
  <c r="K56" i="1"/>
  <c r="L50" i="1"/>
  <c r="L26" i="1"/>
  <c r="L27" i="1"/>
  <c r="L46" i="1"/>
  <c r="L58" i="1" l="1"/>
  <c r="L60" i="1" s="1"/>
  <c r="L61" i="1" s="1"/>
  <c r="L55" i="1"/>
  <c r="L49" i="1"/>
  <c r="M27" i="1"/>
  <c r="M26" i="1"/>
  <c r="M46" i="1"/>
  <c r="M52" i="1"/>
  <c r="L53" i="1"/>
  <c r="L54" i="1" s="1"/>
  <c r="K60" i="1"/>
  <c r="K61" i="1" s="1"/>
  <c r="M50" i="1"/>
  <c r="M53" i="1" l="1"/>
  <c r="M54" i="1" s="1"/>
  <c r="M58" i="1"/>
  <c r="M55" i="1"/>
  <c r="M49" i="1"/>
  <c r="L57" i="1"/>
  <c r="L56" i="1"/>
  <c r="M57" i="1" l="1"/>
  <c r="M56" i="1"/>
  <c r="M60" i="1"/>
  <c r="M61" i="1" s="1"/>
</calcChain>
</file>

<file path=xl/sharedStrings.xml><?xml version="1.0" encoding="utf-8"?>
<sst xmlns="http://schemas.openxmlformats.org/spreadsheetml/2006/main" count="101" uniqueCount="69">
  <si>
    <t>Mức lương 1 nhân viên</t>
  </si>
  <si>
    <t>Không tốt</t>
  </si>
  <si>
    <t>Duy trì việc</t>
  </si>
  <si>
    <t>Nv OK</t>
  </si>
  <si>
    <t>Công ty mong muốn</t>
  </si>
  <si>
    <t>X</t>
  </si>
  <si>
    <t>Mức 1</t>
  </si>
  <si>
    <t>Mức 2</t>
  </si>
  <si>
    <t>Mức 3</t>
  </si>
  <si>
    <t>Mức 4</t>
  </si>
  <si>
    <t>Mức 5</t>
  </si>
  <si>
    <t>Mức 6</t>
  </si>
  <si>
    <t>Mức 7</t>
  </si>
  <si>
    <t>Mức 8</t>
  </si>
  <si>
    <t>Mức 9</t>
  </si>
  <si>
    <t>Mức 10</t>
  </si>
  <si>
    <t>Mức 11</t>
  </si>
  <si>
    <t>Mức 12</t>
  </si>
  <si>
    <t>Hoa hồng</t>
  </si>
  <si>
    <t>Bình quân 1 TK năm</t>
  </si>
  <si>
    <t>Doanh số</t>
  </si>
  <si>
    <t>Bình quân 1 TK Tháng</t>
  </si>
  <si>
    <t>Bình quân 3 tháng</t>
  </si>
  <si>
    <t>Gói</t>
  </si>
  <si>
    <t>1 năm</t>
  </si>
  <si>
    <t>1 tháng</t>
  </si>
  <si>
    <t>Tỉ trọng</t>
  </si>
  <si>
    <t>Basic</t>
  </si>
  <si>
    <t>Pro</t>
  </si>
  <si>
    <t>Pre</t>
  </si>
  <si>
    <t>Tổng Doanh số</t>
  </si>
  <si>
    <t>Lương cứng</t>
  </si>
  <si>
    <t>Thưởng từ CTV</t>
  </si>
  <si>
    <t>y</t>
  </si>
  <si>
    <t>Chênh trên cơ sở</t>
  </si>
  <si>
    <t>% Thưởng nhân viên bán hàng</t>
  </si>
  <si>
    <t>Z</t>
  </si>
  <si>
    <t>Thưởng từ bán tốt</t>
  </si>
  <si>
    <t>Tổng thu nhập</t>
  </si>
  <si>
    <t>% Chi phí/Doanh thu</t>
  </si>
  <si>
    <t>Số Tk năm cần bán</t>
  </si>
  <si>
    <t>Số TK theo 3 tháng</t>
  </si>
  <si>
    <t>Số TK theo tháng</t>
  </si>
  <si>
    <t>* Sau mốc doanh thu 250tr, tổng thu nhập sẽ cố định bằng 18% doanh thu (chưa tính thưởng phát triển CTV)</t>
  </si>
  <si>
    <t>Hoa hồng gia hạn gói</t>
  </si>
  <si>
    <t>Hoa hồng upsale</t>
  </si>
  <si>
    <t>5% gói mới</t>
  </si>
  <si>
    <t>Đại lý/CTV</t>
  </si>
  <si>
    <t>Chi phí cho nhân viên FA (5%)</t>
  </si>
  <si>
    <t>Bậc thưởng FA phát triển CTV</t>
  </si>
  <si>
    <t>Tổng chi phí</t>
  </si>
  <si>
    <t>Chi phí NV+CTV/Doanh Thu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</si>
  <si>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</si>
  <si>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</si>
  <si>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</si>
  <si>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</si>
  <si>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</si>
  <si>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</si>
  <si>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</si>
  <si>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</si>
  <si>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</si>
  <si>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</si>
  <si>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</si>
  <si>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</si>
  <si>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Nhân viên</t>
  </si>
  <si>
    <t>Đại lý</t>
  </si>
  <si>
    <t>KOL</t>
  </si>
  <si>
    <t>* Sau mốc doanh thu 250tr, tổng thu nhập sẽ cố định bằng 18% doanh thu</t>
  </si>
  <si>
    <t>*Mức hoa hồng có thể thay đổi tùy theo chiến lược của công ty trong từng giai 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</si>
</sst>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_);_(@_)"/>
    <numFmt numFmtId="168" formatCode="_-* #,##0.0\ _₫_-;\-* #,##0.0\ _₫_-;_-* &quot;-&quot;?\ _₫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2" borderId="1" xfId="0" applyFont="1" applyFill="1" applyBorder="1"/>
    <xf numFmtId="0" fontId="5" fillId="0" borderId="2" xfId="0" applyFont="1" applyBorder="1"/>
    <xf numFmtId="165" fontId="0" fillId="0" borderId="0" xfId="1" applyNumberFormat="1" applyFont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5" fontId="0" fillId="2" borderId="1" xfId="0" applyNumberFormat="1" applyFill="1" applyBorder="1" applyAlignment="1">
      <alignment horizontal="left" vertical="center"/>
    </xf>
    <xf numFmtId="166" fontId="0" fillId="0" borderId="1" xfId="0" applyNumberFormat="1" applyBorder="1"/>
    <xf numFmtId="164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65" fontId="0" fillId="0" borderId="1" xfId="1" applyNumberFormat="1" applyFont="1" applyBorder="1"/>
    <xf numFmtId="164" fontId="0" fillId="0" borderId="1" xfId="0" applyNumberFormat="1" applyBorder="1"/>
    <xf numFmtId="9" fontId="0" fillId="0" borderId="1" xfId="0" applyNumberFormat="1" applyBorder="1"/>
    <xf numFmtId="165" fontId="0" fillId="3" borderId="1" xfId="1" applyNumberFormat="1" applyFont="1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left" vertical="center"/>
    </xf>
    <xf numFmtId="0" fontId="0" fillId="4" borderId="1" xfId="0" applyFill="1" applyBorder="1"/>
    <xf numFmtId="165" fontId="0" fillId="4" borderId="1" xfId="1" applyNumberFormat="1" applyFont="1" applyFill="1" applyBorder="1"/>
    <xf numFmtId="165" fontId="0" fillId="2" borderId="1" xfId="1" applyNumberFormat="1" applyFont="1" applyFill="1" applyBorder="1"/>
    <xf numFmtId="0" fontId="0" fillId="5" borderId="1" xfId="0" applyFill="1" applyBorder="1"/>
    <xf numFmtId="165" fontId="0" fillId="5" borderId="1" xfId="1" applyNumberFormat="1" applyFont="1" applyFill="1" applyBorder="1"/>
    <xf numFmtId="165" fontId="0" fillId="5" borderId="1" xfId="0" applyNumberFormat="1" applyFill="1" applyBorder="1"/>
    <xf numFmtId="165" fontId="0" fillId="2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167" fontId="0" fillId="2" borderId="1" xfId="0" applyNumberFormat="1" applyFill="1" applyBorder="1"/>
    <xf numFmtId="166" fontId="0" fillId="6" borderId="1" xfId="0" applyNumberFormat="1" applyFill="1" applyBorder="1"/>
    <xf numFmtId="166" fontId="0" fillId="2" borderId="1" xfId="0" applyNumberFormat="1" applyFill="1" applyBorder="1"/>
    <xf numFmtId="168" fontId="0" fillId="2" borderId="1" xfId="0" applyNumberFormat="1" applyFill="1" applyBorder="1"/>
    <xf numFmtId="168" fontId="0" fillId="6" borderId="1" xfId="0" applyNumberFormat="1" applyFill="1" applyBorder="1"/>
    <xf numFmtId="0" fontId="0" fillId="7" borderId="1" xfId="0" applyFill="1" applyBorder="1"/>
    <xf numFmtId="165" fontId="0" fillId="7" borderId="1" xfId="0" applyNumberFormat="1" applyFill="1" applyBorder="1"/>
    <xf numFmtId="9" fontId="0" fillId="2" borderId="1" xfId="0" applyNumberFormat="1" applyFill="1" applyBorder="1"/>
    <xf numFmtId="0" fontId="0" fillId="2" borderId="1" xfId="0" applyFill="1" applyBorder="1"/>
    <xf numFmtId="0" fontId="0" fillId="0" borderId="4" xfId="0" applyBorder="1"/>
    <xf numFmtId="0" fontId="0" fillId="2" borderId="0" xfId="0" applyFill="1"/>
    <xf numFmtId="0" fontId="7" fillId="0" borderId="0" xfId="0" applyFont="1"/>
    <xf numFmtId="0" fontId="0" fillId="8" borderId="1" xfId="0" applyFill="1" applyBorder="1"/>
    <xf numFmtId="9" fontId="0" fillId="8" borderId="1" xfId="0" applyNumberFormat="1" applyFill="1" applyBorder="1" applyAlignment="1">
      <alignment horizontal="left" vertical="center"/>
    </xf>
    <xf numFmtId="165" fontId="0" fillId="0" borderId="1" xfId="1" applyNumberFormat="1" applyFont="1" applyBorder="1" applyAlignment="1">
      <alignment horizontal="left" vertical="center"/>
    </xf>
    <xf numFmtId="165" fontId="0" fillId="6" borderId="1" xfId="1" applyNumberFormat="1" applyFont="1" applyFill="1" applyBorder="1"/>
    <xf numFmtId="0" fontId="0" fillId="9" borderId="4" xfId="0" applyFill="1" applyBorder="1"/>
    <xf numFmtId="165" fontId="0" fillId="9" borderId="0" xfId="0" applyNumberFormat="1" applyFill="1"/>
    <xf numFmtId="9" fontId="0" fillId="0" borderId="0" xfId="0" applyNumberFormat="1"/>
    <xf numFmtId="9" fontId="0" fillId="9" borderId="0" xfId="0" applyNumberFormat="1" applyFill="1"/>
    <xf numFmtId="9" fontId="0" fillId="0" borderId="5" xfId="0" applyNumberFormat="1" applyBorder="1"/>
    <xf numFmtId="165" fontId="0" fillId="0" borderId="0" xfId="0" applyNumberFormat="1"/>
    <xf numFmtId="165" fontId="0" fillId="2" borderId="0" xfId="0" applyNumberFormat="1" applyFill="1"/>
    <xf numFmtId="9" fontId="0" fillId="2" borderId="0" xfId="0" applyNumberFormat="1" applyFill="1"/>
    <xf numFmtId="0" fontId="8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topLeftCell="A8" workbookViewId="0">
      <selection activeCell="M76" sqref="M76"/>
    </sheetView>
  </sheetViews>
  <sheetFormatPr defaultRowHeight="14.5" x14ac:dyDescent="0.35"/>
  <cols>
    <col min="1" max="1" width="26.81640625" bestFit="1" customWidth="1"/>
    <col min="2" max="5" width="13.08984375" customWidth="1"/>
    <col min="6" max="6" width="14.08984375" bestFit="1" customWidth="1"/>
    <col min="7" max="12" width="14.7265625" bestFit="1" customWidth="1"/>
    <col min="13" max="13" width="14.81640625" customWidth="1"/>
    <col min="15" max="15" width="17.6328125" bestFit="1" customWidth="1"/>
    <col min="16" max="16" width="12.54296875" bestFit="1" customWidth="1"/>
    <col min="17" max="17" width="11.36328125" bestFit="1" customWidth="1"/>
    <col min="18" max="18" width="12" customWidth="1"/>
  </cols>
  <sheetData>
    <row r="1" spans="1:19" ht="18.5" x14ac:dyDescent="0.45">
      <c r="A1" s="1" t="s">
        <v>0</v>
      </c>
      <c r="B1" s="2" t="s">
        <v>1</v>
      </c>
      <c r="C1" s="1" t="s">
        <v>2</v>
      </c>
      <c r="D1" s="1" t="s">
        <v>2</v>
      </c>
      <c r="E1" s="1" t="s">
        <v>2</v>
      </c>
      <c r="F1" s="1" t="s">
        <v>3</v>
      </c>
      <c r="K1" s="3" t="s">
        <v>4</v>
      </c>
      <c r="N1" t="s">
        <v>5</v>
      </c>
    </row>
    <row r="2" spans="1:19" x14ac:dyDescent="0.35"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P2" s="6" t="s">
        <v>19</v>
      </c>
      <c r="Q2" s="7">
        <v>2293333.3333333335</v>
      </c>
    </row>
    <row r="3" spans="1:19" x14ac:dyDescent="0.35">
      <c r="A3" s="8" t="s">
        <v>20</v>
      </c>
      <c r="B3" s="9"/>
      <c r="C3" s="10"/>
      <c r="D3" s="10"/>
      <c r="E3" s="10"/>
      <c r="F3" s="11"/>
      <c r="G3" s="10"/>
      <c r="H3" s="10"/>
      <c r="I3" s="10"/>
      <c r="J3" s="10"/>
      <c r="K3" s="10"/>
      <c r="L3" s="10"/>
      <c r="M3" s="10"/>
      <c r="N3" s="12"/>
      <c r="P3" t="s">
        <v>21</v>
      </c>
      <c r="Q3" s="13">
        <f>Q2/12</f>
        <v>191111.11111111112</v>
      </c>
    </row>
    <row r="4" spans="1:19" x14ac:dyDescent="0.35">
      <c r="A4" s="8"/>
      <c r="B4" s="9"/>
      <c r="C4" s="10"/>
      <c r="D4" s="10"/>
      <c r="E4" s="10"/>
      <c r="F4" s="11"/>
      <c r="G4" s="10"/>
      <c r="H4" s="10"/>
      <c r="I4" s="10"/>
      <c r="J4" s="10"/>
      <c r="K4" s="10"/>
      <c r="L4" s="10"/>
      <c r="M4" s="10">
        <v>20000000</v>
      </c>
      <c r="N4" s="12">
        <f t="shared" ref="N4:N12" si="0">N5+0.5%</f>
        <v>0.15000000000000005</v>
      </c>
      <c r="P4" t="s">
        <v>22</v>
      </c>
      <c r="Q4" s="13">
        <f>Q3*3</f>
        <v>573333.33333333337</v>
      </c>
    </row>
    <row r="5" spans="1:19" x14ac:dyDescent="0.35">
      <c r="A5" s="8"/>
      <c r="B5" s="9"/>
      <c r="C5" s="10"/>
      <c r="D5" s="10"/>
      <c r="E5" s="10"/>
      <c r="F5" s="11"/>
      <c r="G5" s="10"/>
      <c r="H5" s="10"/>
      <c r="I5" s="10"/>
      <c r="J5" s="10"/>
      <c r="K5" s="10"/>
      <c r="L5" s="10">
        <v>20000000</v>
      </c>
      <c r="M5" s="10">
        <v>20000000</v>
      </c>
      <c r="N5" s="12">
        <f t="shared" si="0"/>
        <v>0.14500000000000005</v>
      </c>
    </row>
    <row r="6" spans="1:19" x14ac:dyDescent="0.35">
      <c r="A6" s="8"/>
      <c r="B6" s="9"/>
      <c r="C6" s="10"/>
      <c r="D6" s="10"/>
      <c r="E6" s="10"/>
      <c r="F6" s="11"/>
      <c r="G6" s="10"/>
      <c r="H6" s="10"/>
      <c r="I6" s="10"/>
      <c r="J6" s="10"/>
      <c r="K6" s="10">
        <v>20000000</v>
      </c>
      <c r="L6" s="10">
        <f t="shared" ref="L6:M15" si="1">K6</f>
        <v>20000000</v>
      </c>
      <c r="M6" s="10">
        <f t="shared" si="1"/>
        <v>20000000</v>
      </c>
      <c r="N6" s="12">
        <f t="shared" si="0"/>
        <v>0.14000000000000004</v>
      </c>
    </row>
    <row r="7" spans="1:19" x14ac:dyDescent="0.35">
      <c r="A7" s="8"/>
      <c r="B7" s="9"/>
      <c r="C7" s="10"/>
      <c r="D7" s="10"/>
      <c r="E7" s="10"/>
      <c r="F7" s="11"/>
      <c r="G7" s="10"/>
      <c r="H7" s="10"/>
      <c r="I7" s="10"/>
      <c r="J7" s="10">
        <v>20000000</v>
      </c>
      <c r="K7" s="10">
        <f t="shared" ref="K7" si="2">J7</f>
        <v>20000000</v>
      </c>
      <c r="L7" s="10">
        <f t="shared" si="1"/>
        <v>20000000</v>
      </c>
      <c r="M7" s="10">
        <f t="shared" si="1"/>
        <v>20000000</v>
      </c>
      <c r="N7" s="12">
        <f t="shared" si="0"/>
        <v>0.13500000000000004</v>
      </c>
    </row>
    <row r="8" spans="1:19" x14ac:dyDescent="0.35">
      <c r="A8" s="8"/>
      <c r="B8" s="9"/>
      <c r="C8" s="10"/>
      <c r="D8" s="10"/>
      <c r="E8" s="10"/>
      <c r="F8" s="11"/>
      <c r="G8" s="10"/>
      <c r="H8" s="10"/>
      <c r="I8" s="10">
        <v>20000000</v>
      </c>
      <c r="J8" s="10">
        <f t="shared" ref="J8:K8" si="3">I8</f>
        <v>20000000</v>
      </c>
      <c r="K8" s="10">
        <f t="shared" si="3"/>
        <v>20000000</v>
      </c>
      <c r="L8" s="10">
        <f t="shared" si="1"/>
        <v>20000000</v>
      </c>
      <c r="M8" s="10">
        <f t="shared" si="1"/>
        <v>20000000</v>
      </c>
      <c r="N8" s="12">
        <f t="shared" si="0"/>
        <v>0.13000000000000003</v>
      </c>
      <c r="P8" s="4" t="s">
        <v>23</v>
      </c>
      <c r="Q8" s="4" t="s">
        <v>24</v>
      </c>
      <c r="R8" s="4" t="s">
        <v>25</v>
      </c>
      <c r="S8" s="4" t="s">
        <v>26</v>
      </c>
    </row>
    <row r="9" spans="1:19" x14ac:dyDescent="0.35">
      <c r="A9" s="14"/>
      <c r="B9" s="15"/>
      <c r="C9" s="10"/>
      <c r="D9" s="10"/>
      <c r="E9" s="10"/>
      <c r="F9" s="11"/>
      <c r="G9" s="10"/>
      <c r="H9" s="10">
        <v>20000000</v>
      </c>
      <c r="I9" s="10">
        <f t="shared" ref="I9:K9" si="4">H9</f>
        <v>20000000</v>
      </c>
      <c r="J9" s="10">
        <f t="shared" si="4"/>
        <v>20000000</v>
      </c>
      <c r="K9" s="10">
        <f t="shared" si="4"/>
        <v>20000000</v>
      </c>
      <c r="L9" s="10">
        <f t="shared" si="1"/>
        <v>20000000</v>
      </c>
      <c r="M9" s="10">
        <f t="shared" si="1"/>
        <v>20000000</v>
      </c>
      <c r="N9" s="12">
        <f t="shared" si="0"/>
        <v>0.12500000000000003</v>
      </c>
      <c r="P9" s="16" t="s">
        <v>27</v>
      </c>
      <c r="Q9" s="17">
        <v>1429000</v>
      </c>
      <c r="R9" s="18">
        <f>Q9/12</f>
        <v>119083.33333333333</v>
      </c>
      <c r="S9" s="19"/>
    </row>
    <row r="10" spans="1:19" x14ac:dyDescent="0.35">
      <c r="A10" s="14"/>
      <c r="B10" s="15"/>
      <c r="C10" s="10"/>
      <c r="D10" s="10"/>
      <c r="E10" s="10"/>
      <c r="F10" s="11"/>
      <c r="G10" s="10">
        <v>20000000</v>
      </c>
      <c r="H10" s="10">
        <f t="shared" ref="H10:K10" si="5">G10</f>
        <v>20000000</v>
      </c>
      <c r="I10" s="10">
        <f t="shared" si="5"/>
        <v>20000000</v>
      </c>
      <c r="J10" s="10">
        <f t="shared" si="5"/>
        <v>20000000</v>
      </c>
      <c r="K10" s="10">
        <f t="shared" si="5"/>
        <v>20000000</v>
      </c>
      <c r="L10" s="10">
        <f t="shared" si="1"/>
        <v>20000000</v>
      </c>
      <c r="M10" s="10">
        <f t="shared" si="1"/>
        <v>20000000</v>
      </c>
      <c r="N10" s="12">
        <f t="shared" si="0"/>
        <v>0.12000000000000002</v>
      </c>
      <c r="P10" s="16" t="s">
        <v>28</v>
      </c>
      <c r="Q10" s="17">
        <v>3830000</v>
      </c>
      <c r="R10" s="18">
        <f t="shared" ref="R10:R11" si="6">Q10/12</f>
        <v>319166.66666666669</v>
      </c>
      <c r="S10" s="19"/>
    </row>
    <row r="11" spans="1:19" x14ac:dyDescent="0.35">
      <c r="A11" s="14"/>
      <c r="B11" s="15"/>
      <c r="C11" s="10"/>
      <c r="D11" s="10"/>
      <c r="E11" s="10"/>
      <c r="F11" s="11">
        <v>20000000</v>
      </c>
      <c r="G11" s="10">
        <f t="shared" ref="G11:K11" si="7">F11</f>
        <v>20000000</v>
      </c>
      <c r="H11" s="10">
        <f t="shared" si="7"/>
        <v>20000000</v>
      </c>
      <c r="I11" s="10">
        <f t="shared" si="7"/>
        <v>20000000</v>
      </c>
      <c r="J11" s="10">
        <f t="shared" si="7"/>
        <v>20000000</v>
      </c>
      <c r="K11" s="10">
        <f t="shared" si="7"/>
        <v>20000000</v>
      </c>
      <c r="L11" s="10">
        <f t="shared" si="1"/>
        <v>20000000</v>
      </c>
      <c r="M11" s="10">
        <f t="shared" si="1"/>
        <v>20000000</v>
      </c>
      <c r="N11" s="12">
        <f t="shared" si="0"/>
        <v>0.11500000000000002</v>
      </c>
      <c r="P11" s="16" t="s">
        <v>29</v>
      </c>
      <c r="Q11" s="17">
        <v>5750000</v>
      </c>
      <c r="R11" s="18">
        <f t="shared" si="6"/>
        <v>479166.66666666669</v>
      </c>
      <c r="S11" s="19">
        <v>1</v>
      </c>
    </row>
    <row r="12" spans="1:19" x14ac:dyDescent="0.35">
      <c r="A12" s="14"/>
      <c r="B12" s="15"/>
      <c r="C12" s="10"/>
      <c r="D12" s="10"/>
      <c r="E12" s="10">
        <v>20000000</v>
      </c>
      <c r="F12" s="11">
        <f t="shared" ref="F12:K12" si="8">E12</f>
        <v>20000000</v>
      </c>
      <c r="G12" s="10">
        <f t="shared" si="8"/>
        <v>20000000</v>
      </c>
      <c r="H12" s="10">
        <f t="shared" si="8"/>
        <v>20000000</v>
      </c>
      <c r="I12" s="10">
        <f t="shared" si="8"/>
        <v>20000000</v>
      </c>
      <c r="J12" s="10">
        <f t="shared" si="8"/>
        <v>20000000</v>
      </c>
      <c r="K12" s="10">
        <f t="shared" si="8"/>
        <v>20000000</v>
      </c>
      <c r="L12" s="10">
        <f t="shared" si="1"/>
        <v>20000000</v>
      </c>
      <c r="M12" s="10">
        <f t="shared" si="1"/>
        <v>20000000</v>
      </c>
      <c r="N12" s="12">
        <f t="shared" si="0"/>
        <v>0.11000000000000001</v>
      </c>
      <c r="P12" s="16"/>
      <c r="Q12" s="16"/>
      <c r="R12" s="16"/>
      <c r="S12" s="19"/>
    </row>
    <row r="13" spans="1:19" x14ac:dyDescent="0.35">
      <c r="A13" s="14"/>
      <c r="B13" s="15"/>
      <c r="C13" s="10"/>
      <c r="D13" s="10">
        <v>20000000</v>
      </c>
      <c r="E13" s="10">
        <f t="shared" ref="E13:K15" si="9">D13</f>
        <v>20000000</v>
      </c>
      <c r="F13" s="11">
        <f t="shared" si="9"/>
        <v>20000000</v>
      </c>
      <c r="G13" s="10">
        <f t="shared" si="9"/>
        <v>20000000</v>
      </c>
      <c r="H13" s="10">
        <f t="shared" si="9"/>
        <v>20000000</v>
      </c>
      <c r="I13" s="10">
        <f t="shared" si="9"/>
        <v>20000000</v>
      </c>
      <c r="J13" s="10">
        <f t="shared" si="9"/>
        <v>20000000</v>
      </c>
      <c r="K13" s="10">
        <f t="shared" si="9"/>
        <v>20000000</v>
      </c>
      <c r="L13" s="10">
        <f t="shared" si="1"/>
        <v>20000000</v>
      </c>
      <c r="M13" s="10">
        <f t="shared" si="1"/>
        <v>20000000</v>
      </c>
      <c r="N13" s="12">
        <f>N14+0.5%</f>
        <v>0.10500000000000001</v>
      </c>
    </row>
    <row r="14" spans="1:19" x14ac:dyDescent="0.35">
      <c r="A14" s="14"/>
      <c r="B14" s="15"/>
      <c r="C14" s="10">
        <v>20000000</v>
      </c>
      <c r="D14" s="10">
        <f>C14</f>
        <v>20000000</v>
      </c>
      <c r="E14" s="10">
        <f>D14</f>
        <v>20000000</v>
      </c>
      <c r="F14" s="11">
        <f t="shared" si="9"/>
        <v>20000000</v>
      </c>
      <c r="G14" s="10">
        <f t="shared" si="9"/>
        <v>20000000</v>
      </c>
      <c r="H14" s="10">
        <f t="shared" si="9"/>
        <v>20000000</v>
      </c>
      <c r="I14" s="10">
        <f t="shared" si="9"/>
        <v>20000000</v>
      </c>
      <c r="J14" s="10">
        <f t="shared" si="9"/>
        <v>20000000</v>
      </c>
      <c r="K14" s="10">
        <f t="shared" si="9"/>
        <v>20000000</v>
      </c>
      <c r="L14" s="10">
        <f t="shared" si="1"/>
        <v>20000000</v>
      </c>
      <c r="M14" s="10">
        <f t="shared" si="1"/>
        <v>20000000</v>
      </c>
      <c r="N14" s="12">
        <v>0.1</v>
      </c>
    </row>
    <row r="15" spans="1:19" x14ac:dyDescent="0.35">
      <c r="A15" s="14"/>
      <c r="B15" s="20">
        <v>30000000</v>
      </c>
      <c r="C15" s="21">
        <v>30000000</v>
      </c>
      <c r="D15" s="21">
        <f>C15</f>
        <v>30000000</v>
      </c>
      <c r="E15" s="21">
        <f>D15</f>
        <v>30000000</v>
      </c>
      <c r="F15" s="11">
        <f t="shared" si="9"/>
        <v>30000000</v>
      </c>
      <c r="G15" s="21">
        <f t="shared" si="9"/>
        <v>30000000</v>
      </c>
      <c r="H15" s="21">
        <f t="shared" si="9"/>
        <v>30000000</v>
      </c>
      <c r="I15" s="21">
        <f t="shared" si="9"/>
        <v>30000000</v>
      </c>
      <c r="J15" s="21">
        <f t="shared" si="9"/>
        <v>30000000</v>
      </c>
      <c r="K15" s="21">
        <f t="shared" si="9"/>
        <v>30000000</v>
      </c>
      <c r="L15" s="21">
        <f t="shared" si="1"/>
        <v>30000000</v>
      </c>
      <c r="M15" s="21">
        <f t="shared" si="1"/>
        <v>30000000</v>
      </c>
      <c r="N15" s="12">
        <v>0</v>
      </c>
    </row>
    <row r="16" spans="1:19" x14ac:dyDescent="0.35">
      <c r="A16" s="22" t="s">
        <v>30</v>
      </c>
      <c r="B16" s="23">
        <f>SUM(B3:B15)</f>
        <v>30000000</v>
      </c>
      <c r="C16" s="23">
        <f t="shared" ref="C16:M16" si="10">SUM(C3:C15)</f>
        <v>50000000</v>
      </c>
      <c r="D16" s="23">
        <f t="shared" si="10"/>
        <v>70000000</v>
      </c>
      <c r="E16" s="23">
        <f t="shared" si="10"/>
        <v>90000000</v>
      </c>
      <c r="F16" s="24">
        <f t="shared" si="10"/>
        <v>110000000</v>
      </c>
      <c r="G16" s="23">
        <f t="shared" si="10"/>
        <v>130000000</v>
      </c>
      <c r="H16" s="23">
        <f t="shared" si="10"/>
        <v>150000000</v>
      </c>
      <c r="I16" s="23">
        <f t="shared" si="10"/>
        <v>170000000</v>
      </c>
      <c r="J16" s="23">
        <f t="shared" si="10"/>
        <v>190000000</v>
      </c>
      <c r="K16" s="23">
        <f t="shared" si="10"/>
        <v>210000000</v>
      </c>
      <c r="L16" s="23">
        <f t="shared" si="10"/>
        <v>230000000</v>
      </c>
      <c r="M16" s="23">
        <f t="shared" si="10"/>
        <v>250000000</v>
      </c>
      <c r="N16" s="19"/>
    </row>
    <row r="17" spans="1:15" x14ac:dyDescent="0.35">
      <c r="A17" s="25" t="s">
        <v>31</v>
      </c>
      <c r="B17" s="26">
        <v>6000000</v>
      </c>
      <c r="C17" s="27">
        <f>B17</f>
        <v>6000000</v>
      </c>
      <c r="D17" s="27">
        <f>C17</f>
        <v>6000000</v>
      </c>
      <c r="E17" s="27">
        <f>D17</f>
        <v>6000000</v>
      </c>
      <c r="F17" s="28">
        <f t="shared" ref="F17:K17" si="11">E17</f>
        <v>6000000</v>
      </c>
      <c r="G17" s="27">
        <f t="shared" si="11"/>
        <v>6000000</v>
      </c>
      <c r="H17" s="27">
        <f t="shared" si="11"/>
        <v>6000000</v>
      </c>
      <c r="I17" s="27">
        <f t="shared" si="11"/>
        <v>6000000</v>
      </c>
      <c r="J17" s="27">
        <f t="shared" si="11"/>
        <v>6000000</v>
      </c>
      <c r="K17" s="27">
        <f t="shared" si="11"/>
        <v>6000000</v>
      </c>
      <c r="L17" s="27">
        <f>K17</f>
        <v>6000000</v>
      </c>
      <c r="M17" s="27">
        <f>L17</f>
        <v>6000000</v>
      </c>
      <c r="N17" s="16"/>
    </row>
    <row r="18" spans="1:15" x14ac:dyDescent="0.35">
      <c r="A18" s="29" t="s">
        <v>18</v>
      </c>
      <c r="B18" s="30">
        <f t="shared" ref="B18:M18" si="12">B15*$N15+B14*$N14+B13*$N13+B12*$N12+B11*$N11+B10*$N10+B9*$N9+B8*$N8+B7*$N7+B6*$N6+B5*$N5+B4*$N4+B3*$N3</f>
        <v>0</v>
      </c>
      <c r="C18" s="30">
        <f t="shared" si="12"/>
        <v>2000000</v>
      </c>
      <c r="D18" s="30">
        <f t="shared" si="12"/>
        <v>4100000</v>
      </c>
      <c r="E18" s="30">
        <f t="shared" si="12"/>
        <v>6300000</v>
      </c>
      <c r="F18" s="31">
        <f t="shared" si="12"/>
        <v>8600000</v>
      </c>
      <c r="G18" s="30">
        <f t="shared" si="12"/>
        <v>11000000</v>
      </c>
      <c r="H18" s="30">
        <f t="shared" si="12"/>
        <v>13500000</v>
      </c>
      <c r="I18" s="30">
        <f t="shared" si="12"/>
        <v>16100000</v>
      </c>
      <c r="J18" s="30">
        <f t="shared" si="12"/>
        <v>18800000</v>
      </c>
      <c r="K18" s="30">
        <f t="shared" si="12"/>
        <v>21600000</v>
      </c>
      <c r="L18" s="30">
        <f t="shared" si="12"/>
        <v>24500000</v>
      </c>
      <c r="M18" s="30">
        <f t="shared" si="12"/>
        <v>27500000</v>
      </c>
      <c r="N18" s="16"/>
    </row>
    <row r="19" spans="1:15" x14ac:dyDescent="0.35">
      <c r="A19" s="29" t="s">
        <v>32</v>
      </c>
      <c r="B19" s="30"/>
      <c r="C19" s="30">
        <f t="shared" ref="C19:M19" si="13">C16*$N19</f>
        <v>0</v>
      </c>
      <c r="D19" s="30">
        <f t="shared" si="13"/>
        <v>0</v>
      </c>
      <c r="E19" s="30">
        <f t="shared" si="13"/>
        <v>0</v>
      </c>
      <c r="F19" s="31">
        <f t="shared" si="13"/>
        <v>0</v>
      </c>
      <c r="G19" s="30">
        <f t="shared" si="13"/>
        <v>0</v>
      </c>
      <c r="H19" s="30">
        <f t="shared" si="13"/>
        <v>0</v>
      </c>
      <c r="I19" s="30">
        <f t="shared" si="13"/>
        <v>0</v>
      </c>
      <c r="J19" s="30">
        <f t="shared" si="13"/>
        <v>0</v>
      </c>
      <c r="K19" s="30">
        <f t="shared" si="13"/>
        <v>0</v>
      </c>
      <c r="L19" s="30">
        <f t="shared" si="13"/>
        <v>0</v>
      </c>
      <c r="M19" s="30">
        <f t="shared" si="13"/>
        <v>0</v>
      </c>
      <c r="N19" s="19"/>
      <c r="O19" t="s">
        <v>33</v>
      </c>
    </row>
    <row r="20" spans="1:15" x14ac:dyDescent="0.35">
      <c r="A20" s="29" t="s">
        <v>34</v>
      </c>
      <c r="B20" s="30">
        <f>SUM(B3:B15)</f>
        <v>30000000</v>
      </c>
      <c r="C20" s="30">
        <f t="shared" ref="C20:M20" si="14">SUM(C3:C15)</f>
        <v>50000000</v>
      </c>
      <c r="D20" s="30">
        <f t="shared" si="14"/>
        <v>70000000</v>
      </c>
      <c r="E20" s="30">
        <f t="shared" si="14"/>
        <v>90000000</v>
      </c>
      <c r="F20" s="31">
        <f t="shared" si="14"/>
        <v>110000000</v>
      </c>
      <c r="G20" s="30">
        <f t="shared" si="14"/>
        <v>130000000</v>
      </c>
      <c r="H20" s="30">
        <f t="shared" si="14"/>
        <v>150000000</v>
      </c>
      <c r="I20" s="30">
        <f t="shared" si="14"/>
        <v>170000000</v>
      </c>
      <c r="J20" s="30">
        <f t="shared" si="14"/>
        <v>190000000</v>
      </c>
      <c r="K20" s="30">
        <f t="shared" si="14"/>
        <v>210000000</v>
      </c>
      <c r="L20" s="30">
        <f t="shared" si="14"/>
        <v>230000000</v>
      </c>
      <c r="M20" s="30">
        <f t="shared" si="14"/>
        <v>250000000</v>
      </c>
      <c r="N20" s="19"/>
    </row>
    <row r="21" spans="1:15" x14ac:dyDescent="0.35">
      <c r="A21" s="29" t="s">
        <v>35</v>
      </c>
      <c r="B21" s="30">
        <v>0</v>
      </c>
      <c r="C21" s="32">
        <v>0</v>
      </c>
      <c r="D21" s="32">
        <v>0</v>
      </c>
      <c r="E21" s="32">
        <v>0</v>
      </c>
      <c r="F21" s="33">
        <v>0.05</v>
      </c>
      <c r="G21" s="32">
        <v>0.05</v>
      </c>
      <c r="H21" s="32">
        <v>0.06</v>
      </c>
      <c r="I21" s="32">
        <v>0.06</v>
      </c>
      <c r="J21" s="32">
        <v>7.0000000000000007E-2</v>
      </c>
      <c r="K21" s="32">
        <v>7.0000000000000007E-2</v>
      </c>
      <c r="L21" s="32">
        <v>0.08</v>
      </c>
      <c r="M21" s="32">
        <v>0.08</v>
      </c>
      <c r="N21" s="19"/>
      <c r="O21" t="s">
        <v>36</v>
      </c>
    </row>
    <row r="22" spans="1:15" x14ac:dyDescent="0.35">
      <c r="A22" s="29" t="s">
        <v>37</v>
      </c>
      <c r="B22" s="29">
        <f>B20*B21</f>
        <v>0</v>
      </c>
      <c r="C22" s="29">
        <f t="shared" ref="C22:E22" si="15">C20*C21</f>
        <v>0</v>
      </c>
      <c r="D22" s="29">
        <f t="shared" si="15"/>
        <v>0</v>
      </c>
      <c r="E22" s="29">
        <f t="shared" si="15"/>
        <v>0</v>
      </c>
      <c r="F22" s="34">
        <f t="shared" ref="F22:M22" si="16">E22+F21*F11</f>
        <v>1000000</v>
      </c>
      <c r="G22" s="35">
        <f t="shared" si="16"/>
        <v>2000000</v>
      </c>
      <c r="H22" s="35">
        <f t="shared" si="16"/>
        <v>3200000</v>
      </c>
      <c r="I22" s="35">
        <f t="shared" si="16"/>
        <v>4400000</v>
      </c>
      <c r="J22" s="35">
        <f t="shared" si="16"/>
        <v>5800000</v>
      </c>
      <c r="K22" s="35">
        <f t="shared" si="16"/>
        <v>7200000</v>
      </c>
      <c r="L22" s="35">
        <f t="shared" si="16"/>
        <v>8800000</v>
      </c>
      <c r="M22" s="35">
        <f t="shared" si="16"/>
        <v>10400000</v>
      </c>
      <c r="N22" s="12"/>
    </row>
    <row r="23" spans="1:15" x14ac:dyDescent="0.35">
      <c r="A23" s="36" t="s">
        <v>38</v>
      </c>
      <c r="B23" s="37">
        <f>B22+B19+B18+B17</f>
        <v>6000000</v>
      </c>
      <c r="C23" s="37">
        <f t="shared" ref="C23:M23" si="17">C22+C19+C18+C17</f>
        <v>8000000</v>
      </c>
      <c r="D23" s="37">
        <f t="shared" si="17"/>
        <v>10100000</v>
      </c>
      <c r="E23" s="37">
        <f t="shared" si="17"/>
        <v>12300000</v>
      </c>
      <c r="F23" s="28">
        <f t="shared" si="17"/>
        <v>15600000</v>
      </c>
      <c r="G23" s="37">
        <f t="shared" si="17"/>
        <v>19000000</v>
      </c>
      <c r="H23" s="37">
        <f t="shared" si="17"/>
        <v>22700000</v>
      </c>
      <c r="I23" s="37">
        <f t="shared" si="17"/>
        <v>26500000</v>
      </c>
      <c r="J23" s="37">
        <f t="shared" si="17"/>
        <v>30600000</v>
      </c>
      <c r="K23" s="37">
        <f t="shared" si="17"/>
        <v>34800000</v>
      </c>
      <c r="L23" s="37">
        <f t="shared" si="17"/>
        <v>39300000</v>
      </c>
      <c r="M23" s="37">
        <f t="shared" si="17"/>
        <v>43900000</v>
      </c>
      <c r="N23" s="16"/>
    </row>
    <row r="24" spans="1:15" x14ac:dyDescent="0.35">
      <c r="A24" s="16" t="s">
        <v>39</v>
      </c>
      <c r="B24" s="19">
        <f>B23/B16</f>
        <v>0.2</v>
      </c>
      <c r="C24" s="19">
        <f>C23/C16</f>
        <v>0.16</v>
      </c>
      <c r="D24" s="19">
        <f t="shared" ref="D24:M24" si="18">D23/D16</f>
        <v>0.14428571428571429</v>
      </c>
      <c r="E24" s="19">
        <f t="shared" si="18"/>
        <v>0.13666666666666666</v>
      </c>
      <c r="F24" s="38">
        <f t="shared" si="18"/>
        <v>0.14181818181818182</v>
      </c>
      <c r="G24" s="19">
        <f t="shared" si="18"/>
        <v>0.14615384615384616</v>
      </c>
      <c r="H24" s="19">
        <f t="shared" si="18"/>
        <v>0.15133333333333332</v>
      </c>
      <c r="I24" s="19">
        <f t="shared" si="18"/>
        <v>0.15588235294117647</v>
      </c>
      <c r="J24" s="19">
        <f t="shared" si="18"/>
        <v>0.16105263157894736</v>
      </c>
      <c r="K24" s="19">
        <f t="shared" si="18"/>
        <v>0.1657142857142857</v>
      </c>
      <c r="L24" s="19">
        <f t="shared" si="18"/>
        <v>0.1708695652173913</v>
      </c>
      <c r="M24" s="19">
        <f t="shared" si="18"/>
        <v>0.17560000000000001</v>
      </c>
      <c r="N24" s="16"/>
    </row>
    <row r="25" spans="1:15" hidden="1" x14ac:dyDescent="0.35">
      <c r="A25" s="16" t="s">
        <v>40</v>
      </c>
      <c r="B25" s="16">
        <f t="shared" ref="B25:M25" si="19">ROUNDUP(B16/$Q$2,0)</f>
        <v>14</v>
      </c>
      <c r="C25" s="16">
        <f t="shared" si="19"/>
        <v>22</v>
      </c>
      <c r="D25" s="16">
        <f t="shared" si="19"/>
        <v>31</v>
      </c>
      <c r="E25" s="16">
        <f t="shared" si="19"/>
        <v>40</v>
      </c>
      <c r="F25" s="39">
        <f t="shared" si="19"/>
        <v>48</v>
      </c>
      <c r="G25" s="16">
        <f t="shared" si="19"/>
        <v>57</v>
      </c>
      <c r="H25" s="16">
        <f t="shared" si="19"/>
        <v>66</v>
      </c>
      <c r="I25" s="16">
        <f t="shared" si="19"/>
        <v>75</v>
      </c>
      <c r="J25" s="16">
        <f t="shared" si="19"/>
        <v>83</v>
      </c>
      <c r="K25" s="16">
        <f t="shared" si="19"/>
        <v>92</v>
      </c>
      <c r="L25" s="16">
        <f t="shared" si="19"/>
        <v>101</v>
      </c>
      <c r="M25" s="16">
        <f t="shared" si="19"/>
        <v>110</v>
      </c>
      <c r="N25" s="16"/>
    </row>
    <row r="26" spans="1:15" hidden="1" x14ac:dyDescent="0.35">
      <c r="A26" s="40" t="s">
        <v>41</v>
      </c>
      <c r="B26">
        <f>B25*4</f>
        <v>56</v>
      </c>
      <c r="C26">
        <f>C25*4</f>
        <v>88</v>
      </c>
      <c r="D26">
        <f>D25*4</f>
        <v>124</v>
      </c>
      <c r="E26">
        <f>E25*4</f>
        <v>160</v>
      </c>
      <c r="F26" s="41">
        <f t="shared" ref="F26:M26" si="20">F25*4</f>
        <v>192</v>
      </c>
      <c r="G26">
        <f t="shared" si="20"/>
        <v>228</v>
      </c>
      <c r="H26">
        <f t="shared" si="20"/>
        <v>264</v>
      </c>
      <c r="I26">
        <f t="shared" si="20"/>
        <v>300</v>
      </c>
      <c r="J26">
        <f t="shared" si="20"/>
        <v>332</v>
      </c>
      <c r="K26">
        <f t="shared" si="20"/>
        <v>368</v>
      </c>
      <c r="L26">
        <f t="shared" si="20"/>
        <v>404</v>
      </c>
      <c r="M26">
        <f t="shared" si="20"/>
        <v>440</v>
      </c>
    </row>
    <row r="27" spans="1:15" hidden="1" x14ac:dyDescent="0.35">
      <c r="A27" s="40" t="s">
        <v>42</v>
      </c>
      <c r="B27">
        <f>B25*12</f>
        <v>168</v>
      </c>
      <c r="C27">
        <f t="shared" ref="C27:M27" si="21">C25*12</f>
        <v>264</v>
      </c>
      <c r="D27">
        <f t="shared" si="21"/>
        <v>372</v>
      </c>
      <c r="E27">
        <f t="shared" si="21"/>
        <v>480</v>
      </c>
      <c r="F27" s="41">
        <f t="shared" si="21"/>
        <v>576</v>
      </c>
      <c r="G27">
        <f t="shared" si="21"/>
        <v>684</v>
      </c>
      <c r="H27">
        <f t="shared" si="21"/>
        <v>792</v>
      </c>
      <c r="I27">
        <f t="shared" si="21"/>
        <v>900</v>
      </c>
      <c r="J27">
        <f t="shared" si="21"/>
        <v>996</v>
      </c>
      <c r="K27">
        <f t="shared" si="21"/>
        <v>1104</v>
      </c>
      <c r="L27">
        <f t="shared" si="21"/>
        <v>1212</v>
      </c>
      <c r="M27">
        <f t="shared" si="21"/>
        <v>1320</v>
      </c>
    </row>
    <row r="28" spans="1:15" s="42" customFormat="1" x14ac:dyDescent="0.35">
      <c r="A28" s="42" t="s">
        <v>43</v>
      </c>
    </row>
    <row r="29" spans="1:15" s="42" customFormat="1" x14ac:dyDescent="0.35">
      <c r="A29" s="43" t="s">
        <v>44</v>
      </c>
      <c r="B29" s="44">
        <v>0.05</v>
      </c>
    </row>
    <row r="30" spans="1:15" x14ac:dyDescent="0.35">
      <c r="A30" s="43" t="s">
        <v>45</v>
      </c>
      <c r="B30" s="43" t="s">
        <v>46</v>
      </c>
      <c r="E30" s="42"/>
    </row>
    <row r="31" spans="1:15" ht="18.5" x14ac:dyDescent="0.45">
      <c r="A31" s="1" t="s">
        <v>47</v>
      </c>
    </row>
    <row r="32" spans="1:15" x14ac:dyDescent="0.35">
      <c r="B32" s="4" t="s">
        <v>6</v>
      </c>
      <c r="C32" s="4" t="s">
        <v>7</v>
      </c>
      <c r="D32" s="4" t="s">
        <v>8</v>
      </c>
      <c r="E32" s="4" t="s">
        <v>9</v>
      </c>
      <c r="F32" s="4" t="s">
        <v>10</v>
      </c>
      <c r="G32" s="4" t="s">
        <v>11</v>
      </c>
      <c r="H32" s="5" t="s">
        <v>12</v>
      </c>
      <c r="I32" s="4" t="s">
        <v>13</v>
      </c>
      <c r="J32" s="4" t="s">
        <v>14</v>
      </c>
      <c r="K32" s="4" t="s">
        <v>15</v>
      </c>
      <c r="L32" s="4" t="s">
        <v>16</v>
      </c>
      <c r="M32" s="4" t="s">
        <v>17</v>
      </c>
      <c r="N32" s="4" t="s">
        <v>18</v>
      </c>
    </row>
    <row r="33" spans="1:14" x14ac:dyDescent="0.35">
      <c r="A33" s="8" t="s">
        <v>20</v>
      </c>
      <c r="B33" s="9"/>
      <c r="C33" s="10"/>
      <c r="D33" s="10"/>
      <c r="E33" s="10"/>
      <c r="F33" s="10"/>
      <c r="G33" s="10"/>
      <c r="H33" s="11"/>
      <c r="I33" s="10"/>
      <c r="J33" s="10"/>
      <c r="K33" s="10"/>
      <c r="L33" s="10"/>
      <c r="M33" s="10"/>
      <c r="N33" s="12"/>
    </row>
    <row r="34" spans="1:14" x14ac:dyDescent="0.35">
      <c r="A34" s="8"/>
      <c r="B34" s="9"/>
      <c r="C34" s="10"/>
      <c r="D34" s="10"/>
      <c r="E34" s="10"/>
      <c r="F34" s="10"/>
      <c r="G34" s="10"/>
      <c r="H34" s="11"/>
      <c r="I34" s="10"/>
      <c r="J34" s="10"/>
      <c r="K34" s="10"/>
      <c r="L34" s="10"/>
      <c r="M34" s="10">
        <v>20000000</v>
      </c>
      <c r="N34" s="12">
        <v>0.17</v>
      </c>
    </row>
    <row r="35" spans="1:14" x14ac:dyDescent="0.35">
      <c r="A35" s="8"/>
      <c r="B35" s="9"/>
      <c r="C35" s="10"/>
      <c r="D35" s="10"/>
      <c r="E35" s="10"/>
      <c r="F35" s="10"/>
      <c r="G35" s="10"/>
      <c r="H35" s="11"/>
      <c r="I35" s="10"/>
      <c r="J35" s="10"/>
      <c r="K35" s="10"/>
      <c r="L35" s="10">
        <v>20000000</v>
      </c>
      <c r="M35" s="10">
        <v>20000000</v>
      </c>
      <c r="N35" s="12">
        <f t="shared" ref="N35:N42" si="22">N36+0.5%</f>
        <v>0.16500000000000004</v>
      </c>
    </row>
    <row r="36" spans="1:14" x14ac:dyDescent="0.35">
      <c r="A36" s="8"/>
      <c r="B36" s="9"/>
      <c r="C36" s="10"/>
      <c r="D36" s="10"/>
      <c r="E36" s="10"/>
      <c r="F36" s="10"/>
      <c r="G36" s="10"/>
      <c r="H36" s="11"/>
      <c r="I36" s="10"/>
      <c r="J36" s="10"/>
      <c r="K36" s="10">
        <v>20000000</v>
      </c>
      <c r="L36" s="10">
        <f t="shared" ref="L36:M36" si="23">K36</f>
        <v>20000000</v>
      </c>
      <c r="M36" s="10">
        <f t="shared" si="23"/>
        <v>20000000</v>
      </c>
      <c r="N36" s="12">
        <f t="shared" si="22"/>
        <v>0.16000000000000003</v>
      </c>
    </row>
    <row r="37" spans="1:14" x14ac:dyDescent="0.35">
      <c r="A37" s="8"/>
      <c r="B37" s="9"/>
      <c r="C37" s="10"/>
      <c r="D37" s="10"/>
      <c r="E37" s="10"/>
      <c r="F37" s="10"/>
      <c r="G37" s="10"/>
      <c r="H37" s="11"/>
      <c r="I37" s="10"/>
      <c r="J37" s="10">
        <v>20000000</v>
      </c>
      <c r="K37" s="10">
        <f t="shared" ref="K37:M37" si="24">J37</f>
        <v>20000000</v>
      </c>
      <c r="L37" s="10">
        <f t="shared" si="24"/>
        <v>20000000</v>
      </c>
      <c r="M37" s="10">
        <f t="shared" si="24"/>
        <v>20000000</v>
      </c>
      <c r="N37" s="12">
        <f t="shared" si="22"/>
        <v>0.15500000000000003</v>
      </c>
    </row>
    <row r="38" spans="1:14" x14ac:dyDescent="0.35">
      <c r="A38" s="8"/>
      <c r="B38" s="9"/>
      <c r="C38" s="10"/>
      <c r="D38" s="10"/>
      <c r="E38" s="10"/>
      <c r="F38" s="10"/>
      <c r="G38" s="10"/>
      <c r="H38" s="11"/>
      <c r="I38" s="10">
        <v>20000000</v>
      </c>
      <c r="J38" s="10">
        <f t="shared" ref="J38:M38" si="25">I38</f>
        <v>20000000</v>
      </c>
      <c r="K38" s="10">
        <f t="shared" si="25"/>
        <v>20000000</v>
      </c>
      <c r="L38" s="10">
        <f t="shared" si="25"/>
        <v>20000000</v>
      </c>
      <c r="M38" s="10">
        <f t="shared" si="25"/>
        <v>20000000</v>
      </c>
      <c r="N38" s="12">
        <f t="shared" si="22"/>
        <v>0.15000000000000002</v>
      </c>
    </row>
    <row r="39" spans="1:14" x14ac:dyDescent="0.35">
      <c r="A39" s="14"/>
      <c r="B39" s="15"/>
      <c r="C39" s="10"/>
      <c r="D39" s="10"/>
      <c r="E39" s="10"/>
      <c r="F39" s="10"/>
      <c r="G39" s="10"/>
      <c r="H39" s="11">
        <v>20000000</v>
      </c>
      <c r="I39" s="10">
        <f t="shared" ref="I39:M39" si="26">H39</f>
        <v>20000000</v>
      </c>
      <c r="J39" s="10">
        <f t="shared" si="26"/>
        <v>20000000</v>
      </c>
      <c r="K39" s="10">
        <f t="shared" si="26"/>
        <v>20000000</v>
      </c>
      <c r="L39" s="10">
        <f t="shared" si="26"/>
        <v>20000000</v>
      </c>
      <c r="M39" s="10">
        <f t="shared" si="26"/>
        <v>20000000</v>
      </c>
      <c r="N39" s="12">
        <f t="shared" si="22"/>
        <v>0.14500000000000002</v>
      </c>
    </row>
    <row r="40" spans="1:14" x14ac:dyDescent="0.35">
      <c r="A40" s="14"/>
      <c r="B40" s="15"/>
      <c r="C40" s="10"/>
      <c r="D40" s="10"/>
      <c r="E40" s="10"/>
      <c r="F40" s="10"/>
      <c r="G40" s="10">
        <v>20000000</v>
      </c>
      <c r="H40" s="11">
        <f t="shared" ref="H40:M40" si="27">G40</f>
        <v>20000000</v>
      </c>
      <c r="I40" s="10">
        <f t="shared" si="27"/>
        <v>20000000</v>
      </c>
      <c r="J40" s="10">
        <f t="shared" si="27"/>
        <v>20000000</v>
      </c>
      <c r="K40" s="10">
        <f t="shared" si="27"/>
        <v>20000000</v>
      </c>
      <c r="L40" s="10">
        <f t="shared" si="27"/>
        <v>20000000</v>
      </c>
      <c r="M40" s="10">
        <f t="shared" si="27"/>
        <v>20000000</v>
      </c>
      <c r="N40" s="12">
        <f t="shared" si="22"/>
        <v>0.14000000000000001</v>
      </c>
    </row>
    <row r="41" spans="1:14" x14ac:dyDescent="0.35">
      <c r="A41" s="14"/>
      <c r="B41" s="15"/>
      <c r="C41" s="10"/>
      <c r="D41" s="10"/>
      <c r="E41" s="10"/>
      <c r="F41" s="10">
        <v>20000000</v>
      </c>
      <c r="G41" s="10">
        <f t="shared" ref="G41:M41" si="28">F41</f>
        <v>20000000</v>
      </c>
      <c r="H41" s="11">
        <f t="shared" si="28"/>
        <v>20000000</v>
      </c>
      <c r="I41" s="10">
        <f t="shared" si="28"/>
        <v>20000000</v>
      </c>
      <c r="J41" s="10">
        <f t="shared" si="28"/>
        <v>20000000</v>
      </c>
      <c r="K41" s="10">
        <f t="shared" si="28"/>
        <v>20000000</v>
      </c>
      <c r="L41" s="10">
        <f t="shared" si="28"/>
        <v>20000000</v>
      </c>
      <c r="M41" s="10">
        <f t="shared" si="28"/>
        <v>20000000</v>
      </c>
      <c r="N41" s="12">
        <f t="shared" si="22"/>
        <v>0.13500000000000001</v>
      </c>
    </row>
    <row r="42" spans="1:14" x14ac:dyDescent="0.35">
      <c r="A42" s="14"/>
      <c r="B42" s="15"/>
      <c r="C42" s="10"/>
      <c r="D42" s="10"/>
      <c r="E42" s="10">
        <v>20000000</v>
      </c>
      <c r="F42" s="10">
        <f t="shared" ref="F42:M42" si="29">E42</f>
        <v>20000000</v>
      </c>
      <c r="G42" s="10">
        <f t="shared" si="29"/>
        <v>20000000</v>
      </c>
      <c r="H42" s="11">
        <f t="shared" si="29"/>
        <v>20000000</v>
      </c>
      <c r="I42" s="10">
        <f t="shared" si="29"/>
        <v>20000000</v>
      </c>
      <c r="J42" s="10">
        <f t="shared" si="29"/>
        <v>20000000</v>
      </c>
      <c r="K42" s="10">
        <f t="shared" si="29"/>
        <v>20000000</v>
      </c>
      <c r="L42" s="10">
        <f t="shared" si="29"/>
        <v>20000000</v>
      </c>
      <c r="M42" s="10">
        <f t="shared" si="29"/>
        <v>20000000</v>
      </c>
      <c r="N42" s="12">
        <f t="shared" si="22"/>
        <v>0.13</v>
      </c>
    </row>
    <row r="43" spans="1:14" x14ac:dyDescent="0.35">
      <c r="A43" s="14"/>
      <c r="B43" s="15"/>
      <c r="C43" s="10"/>
      <c r="D43" s="10">
        <v>20000000</v>
      </c>
      <c r="E43" s="10">
        <f t="shared" ref="E43:M45" si="30">D43</f>
        <v>20000000</v>
      </c>
      <c r="F43" s="10">
        <f t="shared" si="30"/>
        <v>20000000</v>
      </c>
      <c r="G43" s="10">
        <f t="shared" si="30"/>
        <v>20000000</v>
      </c>
      <c r="H43" s="11">
        <f t="shared" si="30"/>
        <v>20000000</v>
      </c>
      <c r="I43" s="10">
        <f t="shared" si="30"/>
        <v>20000000</v>
      </c>
      <c r="J43" s="10">
        <f t="shared" si="30"/>
        <v>20000000</v>
      </c>
      <c r="K43" s="10">
        <f t="shared" si="30"/>
        <v>20000000</v>
      </c>
      <c r="L43" s="10">
        <f t="shared" si="30"/>
        <v>20000000</v>
      </c>
      <c r="M43" s="10">
        <f t="shared" si="30"/>
        <v>20000000</v>
      </c>
      <c r="N43" s="12">
        <f>N44+0.5%</f>
        <v>0.125</v>
      </c>
    </row>
    <row r="44" spans="1:14" x14ac:dyDescent="0.35">
      <c r="A44" s="14"/>
      <c r="B44" s="15"/>
      <c r="C44" s="10">
        <v>20000000</v>
      </c>
      <c r="D44" s="10">
        <f>C44</f>
        <v>20000000</v>
      </c>
      <c r="E44" s="10">
        <f>D44</f>
        <v>20000000</v>
      </c>
      <c r="F44" s="10">
        <f t="shared" si="30"/>
        <v>20000000</v>
      </c>
      <c r="G44" s="10">
        <f t="shared" si="30"/>
        <v>20000000</v>
      </c>
      <c r="H44" s="11">
        <f t="shared" si="30"/>
        <v>20000000</v>
      </c>
      <c r="I44" s="10">
        <f t="shared" si="30"/>
        <v>20000000</v>
      </c>
      <c r="J44" s="10">
        <f t="shared" si="30"/>
        <v>20000000</v>
      </c>
      <c r="K44" s="10">
        <f t="shared" si="30"/>
        <v>20000000</v>
      </c>
      <c r="L44" s="10">
        <f t="shared" si="30"/>
        <v>20000000</v>
      </c>
      <c r="M44" s="10">
        <f t="shared" si="30"/>
        <v>20000000</v>
      </c>
      <c r="N44" s="12">
        <v>0.12</v>
      </c>
    </row>
    <row r="45" spans="1:14" x14ac:dyDescent="0.35">
      <c r="A45" s="14"/>
      <c r="B45" s="45">
        <v>30000000</v>
      </c>
      <c r="C45" s="10">
        <f>B45</f>
        <v>30000000</v>
      </c>
      <c r="D45" s="10">
        <f>C45</f>
        <v>30000000</v>
      </c>
      <c r="E45" s="10">
        <f>D45</f>
        <v>30000000</v>
      </c>
      <c r="F45" s="10">
        <f t="shared" si="30"/>
        <v>30000000</v>
      </c>
      <c r="G45" s="10">
        <f t="shared" si="30"/>
        <v>30000000</v>
      </c>
      <c r="H45" s="11">
        <f t="shared" si="30"/>
        <v>30000000</v>
      </c>
      <c r="I45" s="10">
        <f t="shared" si="30"/>
        <v>30000000</v>
      </c>
      <c r="J45" s="10">
        <f t="shared" si="30"/>
        <v>30000000</v>
      </c>
      <c r="K45" s="10">
        <f t="shared" si="30"/>
        <v>30000000</v>
      </c>
      <c r="L45" s="10">
        <f t="shared" si="30"/>
        <v>30000000</v>
      </c>
      <c r="M45" s="10">
        <f t="shared" si="30"/>
        <v>30000000</v>
      </c>
      <c r="N45" s="12">
        <v>0.12</v>
      </c>
    </row>
    <row r="46" spans="1:14" x14ac:dyDescent="0.35">
      <c r="A46" s="22" t="s">
        <v>30</v>
      </c>
      <c r="B46" s="23">
        <f>SUM(B33:B45)</f>
        <v>30000000</v>
      </c>
      <c r="C46" s="23">
        <f t="shared" ref="C46:K46" si="31">SUM(C33:C45)</f>
        <v>50000000</v>
      </c>
      <c r="D46" s="23">
        <f t="shared" si="31"/>
        <v>70000000</v>
      </c>
      <c r="E46" s="23">
        <f t="shared" si="31"/>
        <v>90000000</v>
      </c>
      <c r="F46" s="23">
        <f t="shared" si="31"/>
        <v>110000000</v>
      </c>
      <c r="G46" s="23">
        <f t="shared" si="31"/>
        <v>130000000</v>
      </c>
      <c r="H46" s="24">
        <f t="shared" si="31"/>
        <v>150000000</v>
      </c>
      <c r="I46" s="23">
        <f t="shared" si="31"/>
        <v>170000000</v>
      </c>
      <c r="J46" s="23">
        <f t="shared" si="31"/>
        <v>190000000</v>
      </c>
      <c r="K46" s="23">
        <f t="shared" si="31"/>
        <v>210000000</v>
      </c>
      <c r="L46" s="23">
        <f>SUM(L33:L45)</f>
        <v>230000000</v>
      </c>
      <c r="M46" s="23">
        <f>SUM(M33:M45)</f>
        <v>250000000</v>
      </c>
      <c r="N46" s="19"/>
    </row>
    <row r="47" spans="1:14" x14ac:dyDescent="0.35">
      <c r="A47" s="25" t="s">
        <v>31</v>
      </c>
      <c r="B47" s="26"/>
      <c r="C47" s="27"/>
      <c r="D47" s="27"/>
      <c r="E47" s="27"/>
      <c r="F47" s="27"/>
      <c r="G47" s="27"/>
      <c r="H47" s="28"/>
      <c r="I47" s="27"/>
      <c r="J47" s="27"/>
      <c r="K47" s="27"/>
      <c r="L47" s="27"/>
      <c r="M47" s="27"/>
      <c r="N47" s="16"/>
    </row>
    <row r="48" spans="1:14" x14ac:dyDescent="0.35">
      <c r="A48" s="29" t="s">
        <v>18</v>
      </c>
      <c r="B48" s="30">
        <f t="shared" ref="B48:M48" si="32">B45*$N45+B44*$N44+B43*$N43+B42*$N42+B41*$N41+B40*$N40+B39*$N39+B38*$N38+B37*$N37+B36*$N36+B35*$N35+B34*$N34+B33*$N33</f>
        <v>3600000</v>
      </c>
      <c r="C48" s="30">
        <f t="shared" si="32"/>
        <v>6000000</v>
      </c>
      <c r="D48" s="30">
        <f t="shared" si="32"/>
        <v>8500000</v>
      </c>
      <c r="E48" s="30">
        <f t="shared" si="32"/>
        <v>11100000</v>
      </c>
      <c r="F48" s="30">
        <f t="shared" si="32"/>
        <v>13800000</v>
      </c>
      <c r="G48" s="30">
        <f t="shared" si="32"/>
        <v>16600000</v>
      </c>
      <c r="H48" s="31">
        <f t="shared" si="32"/>
        <v>19500000</v>
      </c>
      <c r="I48" s="30">
        <f t="shared" si="32"/>
        <v>22500000</v>
      </c>
      <c r="J48" s="30">
        <f t="shared" si="32"/>
        <v>25600000</v>
      </c>
      <c r="K48" s="30">
        <f t="shared" si="32"/>
        <v>28800000</v>
      </c>
      <c r="L48" s="30">
        <f t="shared" si="32"/>
        <v>32100000</v>
      </c>
      <c r="M48" s="30">
        <f t="shared" si="32"/>
        <v>35500000</v>
      </c>
      <c r="N48" s="16"/>
    </row>
    <row r="49" spans="1:14" x14ac:dyDescent="0.35">
      <c r="A49" s="29" t="s">
        <v>32</v>
      </c>
      <c r="B49" s="30"/>
      <c r="C49" s="30">
        <f t="shared" ref="C49:M49" si="33">C46*$N49</f>
        <v>0</v>
      </c>
      <c r="D49" s="30">
        <f t="shared" si="33"/>
        <v>0</v>
      </c>
      <c r="E49" s="30">
        <f t="shared" si="33"/>
        <v>0</v>
      </c>
      <c r="F49" s="30">
        <f t="shared" si="33"/>
        <v>0</v>
      </c>
      <c r="G49" s="30">
        <f t="shared" si="33"/>
        <v>0</v>
      </c>
      <c r="H49" s="31">
        <f t="shared" si="33"/>
        <v>0</v>
      </c>
      <c r="I49" s="30">
        <f t="shared" si="33"/>
        <v>0</v>
      </c>
      <c r="J49" s="30">
        <f t="shared" si="33"/>
        <v>0</v>
      </c>
      <c r="K49" s="30">
        <f t="shared" si="33"/>
        <v>0</v>
      </c>
      <c r="L49" s="30">
        <f t="shared" si="33"/>
        <v>0</v>
      </c>
      <c r="M49" s="30">
        <f t="shared" si="33"/>
        <v>0</v>
      </c>
      <c r="N49" s="19"/>
    </row>
    <row r="50" spans="1:14" x14ac:dyDescent="0.35">
      <c r="A50" s="29" t="s">
        <v>34</v>
      </c>
      <c r="B50" s="30">
        <f>SUM(B33:B45)</f>
        <v>30000000</v>
      </c>
      <c r="C50" s="30">
        <f t="shared" ref="C50:M50" si="34">SUM(C33:C45)</f>
        <v>50000000</v>
      </c>
      <c r="D50" s="30">
        <f t="shared" si="34"/>
        <v>70000000</v>
      </c>
      <c r="E50" s="30">
        <f t="shared" si="34"/>
        <v>90000000</v>
      </c>
      <c r="F50" s="30">
        <f t="shared" si="34"/>
        <v>110000000</v>
      </c>
      <c r="G50" s="30">
        <f t="shared" si="34"/>
        <v>130000000</v>
      </c>
      <c r="H50" s="31">
        <f t="shared" si="34"/>
        <v>150000000</v>
      </c>
      <c r="I50" s="30">
        <f t="shared" si="34"/>
        <v>170000000</v>
      </c>
      <c r="J50" s="30">
        <f t="shared" si="34"/>
        <v>190000000</v>
      </c>
      <c r="K50" s="30">
        <f t="shared" si="34"/>
        <v>210000000</v>
      </c>
      <c r="L50" s="30">
        <f t="shared" si="34"/>
        <v>230000000</v>
      </c>
      <c r="M50" s="30">
        <f t="shared" si="34"/>
        <v>250000000</v>
      </c>
      <c r="N50" s="19"/>
    </row>
    <row r="51" spans="1:14" x14ac:dyDescent="0.35">
      <c r="A51" s="29" t="s">
        <v>35</v>
      </c>
      <c r="B51" s="30">
        <v>0</v>
      </c>
      <c r="C51" s="32">
        <v>0</v>
      </c>
      <c r="D51" s="32">
        <v>0</v>
      </c>
      <c r="E51" s="32">
        <v>0</v>
      </c>
      <c r="F51" s="32">
        <f>0</f>
        <v>0</v>
      </c>
      <c r="G51" s="32">
        <v>0</v>
      </c>
      <c r="H51" s="33">
        <v>0.05</v>
      </c>
      <c r="I51" s="32">
        <v>0.06</v>
      </c>
      <c r="J51" s="32">
        <v>7.0000000000000007E-2</v>
      </c>
      <c r="K51" s="32">
        <v>0.08</v>
      </c>
      <c r="L51" s="32">
        <v>0.09</v>
      </c>
      <c r="M51" s="32">
        <v>0.1</v>
      </c>
      <c r="N51" s="19"/>
    </row>
    <row r="52" spans="1:14" x14ac:dyDescent="0.35">
      <c r="A52" s="29" t="s">
        <v>37</v>
      </c>
      <c r="B52" s="29">
        <f>B50*B51</f>
        <v>0</v>
      </c>
      <c r="C52" s="29">
        <f t="shared" ref="C52:G52" si="35">C50*C51</f>
        <v>0</v>
      </c>
      <c r="D52" s="29">
        <f t="shared" si="35"/>
        <v>0</v>
      </c>
      <c r="E52" s="29">
        <f t="shared" si="35"/>
        <v>0</v>
      </c>
      <c r="F52" s="29">
        <f t="shared" si="35"/>
        <v>0</v>
      </c>
      <c r="G52" s="46">
        <f t="shared" si="35"/>
        <v>0</v>
      </c>
      <c r="H52" s="24">
        <f t="shared" ref="H52:M52" si="36">G52+H39*H51</f>
        <v>1000000</v>
      </c>
      <c r="I52" s="46">
        <f t="shared" si="36"/>
        <v>2200000</v>
      </c>
      <c r="J52" s="46">
        <f t="shared" si="36"/>
        <v>3600000</v>
      </c>
      <c r="K52" s="46">
        <f t="shared" si="36"/>
        <v>5200000</v>
      </c>
      <c r="L52" s="46">
        <f t="shared" si="36"/>
        <v>7000000</v>
      </c>
      <c r="M52" s="46">
        <f t="shared" si="36"/>
        <v>9000000</v>
      </c>
      <c r="N52" s="12"/>
    </row>
    <row r="53" spans="1:14" x14ac:dyDescent="0.35">
      <c r="A53" s="36" t="s">
        <v>38</v>
      </c>
      <c r="B53" s="37">
        <f>B52+B49+B48+B47</f>
        <v>3600000</v>
      </c>
      <c r="C53" s="37">
        <f t="shared" ref="C53:E53" si="37">C52+C49+C48+C47</f>
        <v>6000000</v>
      </c>
      <c r="D53" s="37">
        <f t="shared" si="37"/>
        <v>8500000</v>
      </c>
      <c r="E53" s="37">
        <f t="shared" si="37"/>
        <v>11100000</v>
      </c>
      <c r="F53" s="37">
        <f>F52+F49+F48+F47</f>
        <v>13800000</v>
      </c>
      <c r="G53" s="37">
        <f t="shared" ref="G53:M53" si="38">G52+G49+G48+G47</f>
        <v>16600000</v>
      </c>
      <c r="H53" s="28">
        <f t="shared" si="38"/>
        <v>20500000</v>
      </c>
      <c r="I53" s="37">
        <f t="shared" si="38"/>
        <v>24700000</v>
      </c>
      <c r="J53" s="37">
        <f t="shared" si="38"/>
        <v>29200000</v>
      </c>
      <c r="K53" s="37">
        <f t="shared" si="38"/>
        <v>34000000</v>
      </c>
      <c r="L53" s="37">
        <f t="shared" si="38"/>
        <v>39100000</v>
      </c>
      <c r="M53" s="37">
        <f t="shared" si="38"/>
        <v>44500000</v>
      </c>
      <c r="N53" s="16"/>
    </row>
    <row r="54" spans="1:14" x14ac:dyDescent="0.35">
      <c r="A54" s="16" t="s">
        <v>39</v>
      </c>
      <c r="B54" s="19">
        <f>B53/B46</f>
        <v>0.12</v>
      </c>
      <c r="C54" s="19">
        <f>C53/C46</f>
        <v>0.12</v>
      </c>
      <c r="D54" s="19">
        <f t="shared" ref="D54:E54" si="39">D53/D46</f>
        <v>0.12142857142857143</v>
      </c>
      <c r="E54" s="19">
        <f t="shared" si="39"/>
        <v>0.12333333333333334</v>
      </c>
      <c r="F54" s="19">
        <f>F53/F46</f>
        <v>0.12545454545454546</v>
      </c>
      <c r="G54" s="19">
        <f t="shared" ref="G54:M54" si="40">G53/G46</f>
        <v>0.12769230769230769</v>
      </c>
      <c r="H54" s="38">
        <f t="shared" si="40"/>
        <v>0.13666666666666666</v>
      </c>
      <c r="I54" s="19">
        <f t="shared" si="40"/>
        <v>0.14529411764705882</v>
      </c>
      <c r="J54" s="19">
        <f t="shared" si="40"/>
        <v>0.15368421052631578</v>
      </c>
      <c r="K54" s="19">
        <f t="shared" si="40"/>
        <v>0.16190476190476191</v>
      </c>
      <c r="L54" s="19">
        <f t="shared" si="40"/>
        <v>0.17</v>
      </c>
      <c r="M54" s="19">
        <f t="shared" si="40"/>
        <v>0.17799999999999999</v>
      </c>
      <c r="N54" s="16"/>
    </row>
    <row r="55" spans="1:14" hidden="1" x14ac:dyDescent="0.35">
      <c r="A55" s="16" t="s">
        <v>40</v>
      </c>
      <c r="B55" s="16">
        <f t="shared" ref="B55:M55" si="41">ROUNDUP(B46/$Q$2,0)</f>
        <v>14</v>
      </c>
      <c r="C55" s="16">
        <f t="shared" si="41"/>
        <v>22</v>
      </c>
      <c r="D55" s="16">
        <f t="shared" si="41"/>
        <v>31</v>
      </c>
      <c r="E55" s="16">
        <f t="shared" si="41"/>
        <v>40</v>
      </c>
      <c r="F55" s="16">
        <f t="shared" si="41"/>
        <v>48</v>
      </c>
      <c r="G55" s="16">
        <f t="shared" si="41"/>
        <v>57</v>
      </c>
      <c r="H55" s="39">
        <f t="shared" si="41"/>
        <v>66</v>
      </c>
      <c r="I55" s="16">
        <f t="shared" si="41"/>
        <v>75</v>
      </c>
      <c r="J55" s="16">
        <f t="shared" si="41"/>
        <v>83</v>
      </c>
      <c r="K55" s="16">
        <f t="shared" si="41"/>
        <v>92</v>
      </c>
      <c r="L55" s="16">
        <f t="shared" si="41"/>
        <v>101</v>
      </c>
      <c r="M55" s="16">
        <f t="shared" si="41"/>
        <v>110</v>
      </c>
      <c r="N55" s="16"/>
    </row>
    <row r="56" spans="1:14" hidden="1" x14ac:dyDescent="0.35">
      <c r="A56" s="40" t="s">
        <v>41</v>
      </c>
      <c r="B56">
        <f>B55*4</f>
        <v>56</v>
      </c>
      <c r="C56">
        <f>C55*4</f>
        <v>88</v>
      </c>
      <c r="D56">
        <f>D55*4</f>
        <v>124</v>
      </c>
      <c r="E56">
        <f>E55*4</f>
        <v>160</v>
      </c>
      <c r="F56">
        <f t="shared" ref="F56:M56" si="42">F55*4</f>
        <v>192</v>
      </c>
      <c r="G56">
        <f t="shared" si="42"/>
        <v>228</v>
      </c>
      <c r="H56" s="41">
        <f t="shared" si="42"/>
        <v>264</v>
      </c>
      <c r="I56">
        <f t="shared" si="42"/>
        <v>300</v>
      </c>
      <c r="J56">
        <f t="shared" si="42"/>
        <v>332</v>
      </c>
      <c r="K56">
        <f t="shared" si="42"/>
        <v>368</v>
      </c>
      <c r="L56">
        <f t="shared" si="42"/>
        <v>404</v>
      </c>
      <c r="M56">
        <f t="shared" si="42"/>
        <v>440</v>
      </c>
    </row>
    <row r="57" spans="1:14" hidden="1" x14ac:dyDescent="0.35">
      <c r="A57" s="40" t="s">
        <v>42</v>
      </c>
      <c r="B57">
        <f>B55*12</f>
        <v>168</v>
      </c>
      <c r="C57">
        <f t="shared" ref="C57:M57" si="43">C55*12</f>
        <v>264</v>
      </c>
      <c r="D57">
        <f t="shared" si="43"/>
        <v>372</v>
      </c>
      <c r="E57">
        <f t="shared" si="43"/>
        <v>480</v>
      </c>
      <c r="F57">
        <f t="shared" si="43"/>
        <v>576</v>
      </c>
      <c r="G57">
        <f t="shared" si="43"/>
        <v>684</v>
      </c>
      <c r="H57" s="41">
        <f t="shared" si="43"/>
        <v>792</v>
      </c>
      <c r="I57">
        <f t="shared" si="43"/>
        <v>900</v>
      </c>
      <c r="J57">
        <f t="shared" si="43"/>
        <v>996</v>
      </c>
      <c r="K57">
        <f t="shared" si="43"/>
        <v>1104</v>
      </c>
      <c r="L57">
        <f t="shared" si="43"/>
        <v>1212</v>
      </c>
      <c r="M57">
        <f t="shared" si="43"/>
        <v>1320</v>
      </c>
    </row>
    <row r="58" spans="1:14" x14ac:dyDescent="0.35">
      <c r="A58" s="47" t="s">
        <v>48</v>
      </c>
      <c r="B58" s="48">
        <f>B59*B46</f>
        <v>900000</v>
      </c>
      <c r="C58" s="48">
        <f t="shared" ref="C58:G58" si="44">C59*C46</f>
        <v>1500000</v>
      </c>
      <c r="D58" s="48">
        <f t="shared" si="44"/>
        <v>2100000</v>
      </c>
      <c r="E58" s="48">
        <f t="shared" si="44"/>
        <v>2700000</v>
      </c>
      <c r="F58" s="48">
        <f t="shared" si="44"/>
        <v>3300000</v>
      </c>
      <c r="G58" s="48">
        <f t="shared" si="44"/>
        <v>3900000</v>
      </c>
      <c r="H58" s="48">
        <f>H59*(H46-G46)+G58</f>
        <v>4900000</v>
      </c>
      <c r="I58" s="48">
        <f>I59*(I46-G46)+G58</f>
        <v>5900000</v>
      </c>
      <c r="J58" s="48">
        <f t="shared" ref="J58" si="45">J59*(J46-I46)+I58</f>
        <v>6900000</v>
      </c>
      <c r="K58" s="48">
        <f t="shared" ref="K58" si="46">K59*(K46-I46)+I58</f>
        <v>7900000</v>
      </c>
      <c r="L58" s="48">
        <f t="shared" ref="L58" si="47">L59*(L46-K46)+K58</f>
        <v>8900000</v>
      </c>
      <c r="M58" s="48">
        <f t="shared" ref="M58" si="48">M59*(M46-K46)+K58</f>
        <v>9900000</v>
      </c>
      <c r="N58" s="49"/>
    </row>
    <row r="59" spans="1:14" x14ac:dyDescent="0.35">
      <c r="A59" s="47" t="s">
        <v>49</v>
      </c>
      <c r="B59" s="50">
        <v>0.03</v>
      </c>
      <c r="C59" s="50">
        <v>0.03</v>
      </c>
      <c r="D59" s="50">
        <v>0.03</v>
      </c>
      <c r="E59" s="50">
        <v>0.03</v>
      </c>
      <c r="F59" s="50">
        <v>0.03</v>
      </c>
      <c r="G59" s="50">
        <v>0.03</v>
      </c>
      <c r="H59" s="50">
        <v>0.05</v>
      </c>
      <c r="I59" s="50">
        <v>0.05</v>
      </c>
      <c r="J59" s="50">
        <v>0.05</v>
      </c>
      <c r="K59" s="50">
        <v>0.05</v>
      </c>
      <c r="L59" s="50">
        <v>0.05</v>
      </c>
      <c r="M59" s="50">
        <v>0.05</v>
      </c>
      <c r="N59" s="51"/>
    </row>
    <row r="60" spans="1:14" x14ac:dyDescent="0.35">
      <c r="A60" s="40" t="s">
        <v>50</v>
      </c>
      <c r="B60" s="52">
        <f>B58+B53</f>
        <v>4500000</v>
      </c>
      <c r="C60" s="52">
        <f t="shared" ref="C60:M60" si="49">C58+C53</f>
        <v>7500000</v>
      </c>
      <c r="D60" s="52">
        <f t="shared" si="49"/>
        <v>10600000</v>
      </c>
      <c r="E60" s="52">
        <f t="shared" si="49"/>
        <v>13800000</v>
      </c>
      <c r="F60" s="52">
        <f t="shared" si="49"/>
        <v>17100000</v>
      </c>
      <c r="G60" s="52">
        <f t="shared" si="49"/>
        <v>20500000</v>
      </c>
      <c r="H60" s="53">
        <f t="shared" si="49"/>
        <v>25400000</v>
      </c>
      <c r="I60" s="52">
        <f t="shared" si="49"/>
        <v>30600000</v>
      </c>
      <c r="J60" s="52">
        <f t="shared" si="49"/>
        <v>36100000</v>
      </c>
      <c r="K60" s="52">
        <f t="shared" si="49"/>
        <v>41900000</v>
      </c>
      <c r="L60" s="52">
        <f t="shared" si="49"/>
        <v>48000000</v>
      </c>
      <c r="M60" s="52">
        <f t="shared" si="49"/>
        <v>54400000</v>
      </c>
    </row>
    <row r="61" spans="1:14" x14ac:dyDescent="0.35">
      <c r="A61" s="40" t="s">
        <v>51</v>
      </c>
      <c r="B61" s="49">
        <f>B60/B46</f>
        <v>0.15</v>
      </c>
      <c r="C61" s="49">
        <f t="shared" ref="C61:M61" si="50">C60/C46</f>
        <v>0.15</v>
      </c>
      <c r="D61" s="49">
        <f t="shared" si="50"/>
        <v>0.15142857142857144</v>
      </c>
      <c r="E61" s="49">
        <f t="shared" si="50"/>
        <v>0.15333333333333332</v>
      </c>
      <c r="F61" s="49">
        <f t="shared" si="50"/>
        <v>0.15545454545454546</v>
      </c>
      <c r="G61" s="49">
        <f t="shared" si="50"/>
        <v>0.15769230769230769</v>
      </c>
      <c r="H61" s="54">
        <f t="shared" si="50"/>
        <v>0.16933333333333334</v>
      </c>
      <c r="I61" s="49">
        <f t="shared" si="50"/>
        <v>0.18</v>
      </c>
      <c r="J61" s="49">
        <f t="shared" si="50"/>
        <v>0.19</v>
      </c>
      <c r="K61" s="49">
        <f t="shared" si="50"/>
        <v>0.19952380952380952</v>
      </c>
      <c r="L61" s="49">
        <f t="shared" si="50"/>
        <v>0.20869565217391303</v>
      </c>
      <c r="M61" s="49">
        <f t="shared" si="50"/>
        <v>0.21759999999999999</v>
      </c>
    </row>
    <row r="62" spans="1:14" hidden="1" x14ac:dyDescent="0.35">
      <c r="B62" t="s">
        <v>52</v>
      </c>
      <c r="C62" t="s">
        <v>53</v>
      </c>
      <c r="D62" t="s">
        <v>54</v>
      </c>
      <c r="E62" t="s">
        <v>55</v>
      </c>
      <c r="F62" t="s">
        <v>56</v>
      </c>
      <c r="G62" t="s">
        <v>57</v>
      </c>
      <c r="H62" t="s">
        <v>58</v>
      </c>
      <c r="I62" t="s">
        <v>59</v>
      </c>
      <c r="J62" t="s">
        <v>60</v>
      </c>
      <c r="K62" t="s">
        <v>61</v>
      </c>
      <c r="L62" t="s">
        <v>62</v>
      </c>
      <c r="M62" t="s">
        <v>63</v>
      </c>
    </row>
    <row r="63" spans="1:14" hidden="1" x14ac:dyDescent="0.35">
      <c r="A63" t="s">
        <v>64</v>
      </c>
      <c r="F63">
        <v>250</v>
      </c>
      <c r="G63">
        <v>300</v>
      </c>
      <c r="H63">
        <v>400</v>
      </c>
      <c r="I63">
        <v>1000</v>
      </c>
      <c r="J63">
        <v>1000</v>
      </c>
      <c r="K63">
        <v>1000</v>
      </c>
      <c r="L63">
        <v>1200</v>
      </c>
      <c r="M63">
        <v>1200</v>
      </c>
      <c r="N63">
        <f>SUM(F63:M63)</f>
        <v>6350</v>
      </c>
    </row>
    <row r="64" spans="1:14" hidden="1" x14ac:dyDescent="0.35">
      <c r="A64" t="s">
        <v>65</v>
      </c>
      <c r="I64">
        <v>300</v>
      </c>
      <c r="J64">
        <v>500</v>
      </c>
      <c r="K64">
        <v>1000</v>
      </c>
      <c r="L64">
        <v>1000</v>
      </c>
      <c r="M64">
        <v>1000</v>
      </c>
      <c r="N64">
        <f>SUM(F64:M64)</f>
        <v>3800</v>
      </c>
    </row>
    <row r="65" spans="1:14" hidden="1" x14ac:dyDescent="0.35">
      <c r="A65" t="s">
        <v>66</v>
      </c>
      <c r="H65">
        <v>500</v>
      </c>
      <c r="I65">
        <v>500</v>
      </c>
      <c r="J65">
        <v>500</v>
      </c>
      <c r="K65">
        <v>1000</v>
      </c>
      <c r="L65">
        <v>1000</v>
      </c>
      <c r="M65">
        <v>1000</v>
      </c>
      <c r="N65">
        <f>SUM(F65:M65)</f>
        <v>4500</v>
      </c>
    </row>
    <row r="66" spans="1:14" hidden="1" x14ac:dyDescent="0.35">
      <c r="A66" s="55"/>
      <c r="B66" s="55"/>
      <c r="C66" s="55"/>
      <c r="D66" s="55"/>
      <c r="E66" s="55"/>
      <c r="F66" s="55">
        <f>SUM(F63:F65)</f>
        <v>250</v>
      </c>
      <c r="G66" s="55">
        <f t="shared" ref="G66:M66" si="51">SUM(G63:G65)</f>
        <v>300</v>
      </c>
      <c r="H66" s="55">
        <f t="shared" si="51"/>
        <v>900</v>
      </c>
      <c r="I66" s="55">
        <f t="shared" si="51"/>
        <v>1800</v>
      </c>
      <c r="J66" s="55">
        <f t="shared" si="51"/>
        <v>2000</v>
      </c>
      <c r="K66" s="55">
        <f t="shared" si="51"/>
        <v>3000</v>
      </c>
      <c r="L66" s="55">
        <f t="shared" si="51"/>
        <v>3200</v>
      </c>
      <c r="M66" s="55">
        <f t="shared" si="51"/>
        <v>3200</v>
      </c>
      <c r="N66" s="55">
        <f>SUM(N63:N65)</f>
        <v>14650</v>
      </c>
    </row>
    <row r="67" spans="1:14" x14ac:dyDescent="0.35">
      <c r="A67" s="56" t="s">
        <v>67</v>
      </c>
      <c r="B67" s="56"/>
      <c r="C67" s="56"/>
      <c r="D67" s="56"/>
    </row>
    <row r="68" spans="1:14" x14ac:dyDescent="0.35">
      <c r="A68" s="43" t="s">
        <v>44</v>
      </c>
      <c r="B68" s="44">
        <v>0.05</v>
      </c>
    </row>
    <row r="69" spans="1:14" x14ac:dyDescent="0.35">
      <c r="A69" s="43" t="s">
        <v>45</v>
      </c>
      <c r="B69" s="43" t="s">
        <v>46</v>
      </c>
    </row>
    <row r="71" spans="1:14" s="57" customFormat="1" x14ac:dyDescent="0.35"/>
    <row r="72" spans="1:14" s="59" customFormat="1" x14ac:dyDescent="0.35">
      <c r="A72" s="58" t="s">
        <v>68</v>
      </c>
    </row>
  </sheetData>
  <mergeCells count="5">
    <mergeCell ref="A3:A15"/>
    <mergeCell ref="A33:A45"/>
    <mergeCell ref="A67:D67"/>
    <mergeCell ref="A71:XFD71"/>
    <mergeCell ref="A72:XFD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 Hoang Tung (PCC999)</cp:lastModifiedBy>
  <dcterms:created xsi:type="dcterms:W3CDTF">2015-06-05T18:17:20Z</dcterms:created>
  <dcterms:modified xsi:type="dcterms:W3CDTF">2026-04-22T03:18:52Z</dcterms:modified>
</cp:coreProperties>
</file>